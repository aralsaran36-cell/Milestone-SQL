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tables/table4.xml" ContentType="application/vnd.openxmlformats-officedocument.spreadsheetml.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charts/chart14.xml" ContentType="application/vnd.openxmlformats-officedocument.drawingml.chart+xml"/>
  <Override PartName="/xl/charts/style13.xml" ContentType="application/vnd.ms-office.chartstyle+xml"/>
  <Override PartName="/xl/charts/colors13.xml" ContentType="application/vnd.ms-office.chartcolorstyle+xml"/>
  <Override PartName="/xl/charts/chart15.xml" ContentType="application/vnd.openxmlformats-officedocument.drawingml.chart+xml"/>
  <Override PartName="/xl/charts/style14.xml" ContentType="application/vnd.ms-office.chartstyle+xml"/>
  <Override PartName="/xl/charts/colors14.xml" ContentType="application/vnd.ms-office.chartcolorstyle+xml"/>
  <Override PartName="/xl/charts/chart16.xml" ContentType="application/vnd.openxmlformats-officedocument.drawingml.chart+xml"/>
  <Override PartName="/xl/charts/style15.xml" ContentType="application/vnd.ms-office.chartstyle+xml"/>
  <Override PartName="/xl/charts/colors15.xml" ContentType="application/vnd.ms-office.chartcolorstyle+xml"/>
  <Override PartName="/xl/charts/chart17.xml" ContentType="application/vnd.openxmlformats-officedocument.drawingml.chart+xml"/>
  <Override PartName="/xl/charts/style16.xml" ContentType="application/vnd.ms-office.chartstyle+xml"/>
  <Override PartName="/xl/charts/colors16.xml" ContentType="application/vnd.ms-office.chartcolorstyle+xml"/>
  <Override PartName="/xl/charts/chart18.xml" ContentType="application/vnd.openxmlformats-officedocument.drawingml.chart+xml"/>
  <Override PartName="/xl/charts/style17.xml" ContentType="application/vnd.ms-office.chartstyle+xml"/>
  <Override PartName="/xl/charts/colors17.xml" ContentType="application/vnd.ms-office.chartcolorstyle+xml"/>
  <Override PartName="/xl/charts/chart19.xml" ContentType="application/vnd.openxmlformats-officedocument.drawingml.chart+xml"/>
  <Override PartName="/xl/charts/chart20.xml" ContentType="application/vnd.openxmlformats-officedocument.drawingml.chart+xml"/>
  <Override PartName="/xl/charts/style18.xml" ContentType="application/vnd.ms-office.chartstyle+xml"/>
  <Override PartName="/xl/charts/colors18.xml" ContentType="application/vnd.ms-office.chartcolorstyle+xml"/>
  <Override PartName="/xl/charts/chart21.xml" ContentType="application/vnd.openxmlformats-officedocument.drawingml.chart+xml"/>
  <Override PartName="/xl/charts/style19.xml" ContentType="application/vnd.ms-office.chartstyle+xml"/>
  <Override PartName="/xl/charts/colors19.xml" ContentType="application/vnd.ms-office.chartcolorstyle+xml"/>
  <Override PartName="/xl/charts/chart22.xml" ContentType="application/vnd.openxmlformats-officedocument.drawingml.chart+xml"/>
  <Override PartName="/xl/charts/style20.xml" ContentType="application/vnd.ms-office.chartstyle+xml"/>
  <Override PartName="/xl/charts/colors20.xml" ContentType="application/vnd.ms-office.chartcolorstyle+xml"/>
  <Override PartName="/xl/charts/chart23.xml" ContentType="application/vnd.openxmlformats-officedocument.drawingml.chart+xml"/>
  <Override PartName="/xl/charts/style21.xml" ContentType="application/vnd.ms-office.chartstyle+xml"/>
  <Override PartName="/xl/charts/colors21.xml" ContentType="application/vnd.ms-office.chartcolorstyle+xml"/>
  <Override PartName="/xl/charts/chart24.xml" ContentType="application/vnd.openxmlformats-officedocument.drawingml.chart+xml"/>
  <Override PartName="/xl/charts/style22.xml" ContentType="application/vnd.ms-office.chartstyle+xml"/>
  <Override PartName="/xl/charts/colors2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8"/>
  <workbookPr defaultThemeVersion="166925"/>
  <mc:AlternateContent xmlns:mc="http://schemas.openxmlformats.org/markup-compatibility/2006">
    <mc:Choice Requires="x15">
      <x15ac:absPath xmlns:x15ac="http://schemas.microsoft.com/office/spreadsheetml/2010/11/ac" url="/Users/apple/Downloads/"/>
    </mc:Choice>
  </mc:AlternateContent>
  <xr:revisionPtr revIDLastSave="0" documentId="8_{DEEEB606-AA20-2647-9E49-4330D46EBE6E}" xr6:coauthVersionLast="47" xr6:coauthVersionMax="47" xr10:uidLastSave="{00000000-0000-0000-0000-000000000000}"/>
  <bookViews>
    <workbookView xWindow="0" yWindow="0" windowWidth="28800" windowHeight="18000" activeTab="2" xr2:uid="{12F4095B-A41C-9E4F-A28A-4908ECAC0EA7}"/>
  </bookViews>
  <sheets>
    <sheet name="Excel 1 mark" sheetId="1" r:id="rId1"/>
    <sheet name="Excel 2 mark" sheetId="2" r:id="rId2"/>
    <sheet name="Dashboard" sheetId="14" r:id="rId3"/>
    <sheet name="Table1" sheetId="7" r:id="rId4"/>
    <sheet name="Table" sheetId="5" r:id="rId5"/>
    <sheet name="Sheet12" sheetId="12" r:id="rId6"/>
  </sheets>
  <definedNames>
    <definedName name="Slicer_Banking_Sector_Health">#N/A</definedName>
  </definedNames>
  <calcPr calcId="181029"/>
  <pivotCaches>
    <pivotCache cacheId="8" r:id="rId7"/>
    <pivotCache cacheId="21" r:id="rId8"/>
  </pivotCaches>
  <extLst>
    <ext xmlns:x14="http://schemas.microsoft.com/office/spreadsheetml/2009/9/main" uri="{BBE1A952-AA13-448e-AADC-164F8A28A991}">
      <x14:slicerCaches>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A12" i="2" l="1"/>
  <c r="D49" i="2"/>
  <c r="D48" i="2"/>
  <c r="D47" i="2"/>
  <c r="D46" i="2"/>
  <c r="D45" i="2"/>
  <c r="D44" i="2"/>
  <c r="A39" i="2" l="1"/>
  <c r="A27" i="2"/>
</calcChain>
</file>

<file path=xl/sharedStrings.xml><?xml version="1.0" encoding="utf-8"?>
<sst xmlns="http://schemas.openxmlformats.org/spreadsheetml/2006/main" count="917" uniqueCount="233">
  <si>
    <t>1-b) COUNT</t>
  </si>
  <si>
    <t>2-c) Shift + F11</t>
  </si>
  <si>
    <t>3-c) TODAY()</t>
  </si>
  <si>
    <t>4-b) Aggregating data</t>
  </si>
  <si>
    <t>5-c) Line Chart</t>
  </si>
  <si>
    <t>6-b) Logical function</t>
  </si>
  <si>
    <t>7-b) MATCH</t>
  </si>
  <si>
    <t>8-b) Data cleaning and transformation</t>
  </si>
  <si>
    <t>9-d) Cluster</t>
  </si>
  <si>
    <t>10-b) Represent key business metrics</t>
  </si>
  <si>
    <t>11-b) Reference function</t>
  </si>
  <si>
    <t>12-a) Data → What-if Analysis</t>
  </si>
  <si>
    <t>13-b) Macro</t>
  </si>
  <si>
    <t>14-a) Highlight data based on rules</t>
  </si>
  <si>
    <t>15-d) Rectangle</t>
  </si>
  <si>
    <t>16-d) CREATE</t>
  </si>
  <si>
    <t>17-c) DROP</t>
  </si>
  <si>
    <t>18-c) All rows including NULL</t>
  </si>
  <si>
    <t>19-c) UNIQUE</t>
  </si>
  <si>
    <t>20-b) COMMIT</t>
  </si>
  <si>
    <t>21-b) 3306</t>
  </si>
  <si>
    <t>22-b) LIKE</t>
  </si>
  <si>
    <t>23-c) Current date &amp; time</t>
  </si>
  <si>
    <t>24-b) CONCAT()</t>
  </si>
  <si>
    <t>25-c) FOREIGN KEY</t>
  </si>
  <si>
    <t>26-a) INNER JOIN</t>
  </si>
  <si>
    <t>27-d) CONCAT()</t>
  </si>
  <si>
    <t>28-a) Nested Query</t>
  </si>
  <si>
    <t>29-a) Normalization</t>
  </si>
  <si>
    <t>30-a) Automatically on events</t>
  </si>
  <si>
    <t>EmployeeID</t>
  </si>
  <si>
    <t>EmployeeName</t>
  </si>
  <si>
    <t>Department</t>
  </si>
  <si>
    <t>John</t>
  </si>
  <si>
    <t>HR</t>
  </si>
  <si>
    <t>Amit</t>
  </si>
  <si>
    <t>Finance</t>
  </si>
  <si>
    <t>Sara</t>
  </si>
  <si>
    <t>IT</t>
  </si>
  <si>
    <t>Lina</t>
  </si>
  <si>
    <t>Marketing</t>
  </si>
  <si>
    <t>Raj</t>
  </si>
  <si>
    <t>Sales</t>
  </si>
  <si>
    <t>Emma</t>
  </si>
  <si>
    <t>Admin</t>
  </si>
  <si>
    <t>OrderID</t>
  </si>
  <si>
    <t>Region</t>
  </si>
  <si>
    <t>North</t>
  </si>
  <si>
    <t>South</t>
  </si>
  <si>
    <t>East</t>
  </si>
  <si>
    <t>West</t>
  </si>
  <si>
    <t>Profit</t>
  </si>
  <si>
    <t>1) 	Use VLOOKUP to find the department name of Employee ID 105 from the employee table.</t>
  </si>
  <si>
    <t>2) 	Create a Pivot Table to show total sales by Region from a dataset containing OrderID, Region, Sales.</t>
  </si>
  <si>
    <t xml:space="preserve">3) Apply Conditional Formatting to highlight all sales values greater than 50,000 in red.						</t>
  </si>
  <si>
    <t>4) Use TEXT function to display today’s date in the format DD-MMM-YYYY.</t>
  </si>
  <si>
    <t>5) Perform a Goal Seek to find what sales amount is required to reach a profit of 10,000, if profit = sales × 0.2.</t>
  </si>
  <si>
    <t>Row Labels</t>
  </si>
  <si>
    <t>Grand Total</t>
  </si>
  <si>
    <t>Sum of Sales</t>
  </si>
  <si>
    <t>Country</t>
  </si>
  <si>
    <t>Date</t>
  </si>
  <si>
    <t>Stock_Index</t>
  </si>
  <si>
    <t>Index_Value</t>
  </si>
  <si>
    <t>Daily_Change_Percent</t>
  </si>
  <si>
    <t>Market_Cap_Trillion_USD</t>
  </si>
  <si>
    <t>GDP_Growth_Rate_Percent</t>
  </si>
  <si>
    <t>Inflation_Rate_Percent</t>
  </si>
  <si>
    <t>Interest_Rate_Percent</t>
  </si>
  <si>
    <t>Unemployment_Rate_Percent</t>
  </si>
  <si>
    <t>Currency_Code</t>
  </si>
  <si>
    <t>Exchange_Rate_USD</t>
  </si>
  <si>
    <t>Currency_Change_YTD_Percent</t>
  </si>
  <si>
    <t>Government_Debt_GDP_Percent</t>
  </si>
  <si>
    <t>Current_Account_Balance_Billion_USD</t>
  </si>
  <si>
    <t>FDI_Inflow_Billion_USD</t>
  </si>
  <si>
    <t>Commodity_Index</t>
  </si>
  <si>
    <t>Oil_Price_USD_Barrel</t>
  </si>
  <si>
    <t>Gold_Price_USD_Ounce</t>
  </si>
  <si>
    <t>Bond_Yield_10Y_Percent</t>
  </si>
  <si>
    <t>Credit_Rating</t>
  </si>
  <si>
    <t>Political_Risk_Score</t>
  </si>
  <si>
    <t>Banking_Sector_Health</t>
  </si>
  <si>
    <t>Real_Estate_Index</t>
  </si>
  <si>
    <t>Export_Growth_Percent</t>
  </si>
  <si>
    <t>Import_Growth_Percent</t>
  </si>
  <si>
    <t>United States</t>
  </si>
  <si>
    <t>S&amp;P_500</t>
  </si>
  <si>
    <t>USD</t>
  </si>
  <si>
    <t>AAA</t>
  </si>
  <si>
    <t>Strong</t>
  </si>
  <si>
    <t>China</t>
  </si>
  <si>
    <t>Shanghai_Composite</t>
  </si>
  <si>
    <t>CNY</t>
  </si>
  <si>
    <t>A+</t>
  </si>
  <si>
    <t>Moderate</t>
  </si>
  <si>
    <t>Japan</t>
  </si>
  <si>
    <t>Nikkei_225</t>
  </si>
  <si>
    <t>JPY</t>
  </si>
  <si>
    <t>Germany</t>
  </si>
  <si>
    <t>DAX</t>
  </si>
  <si>
    <t>EUR</t>
  </si>
  <si>
    <t>United Kingdom</t>
  </si>
  <si>
    <t>FTSE_100</t>
  </si>
  <si>
    <t>GBP</t>
  </si>
  <si>
    <t>AA</t>
  </si>
  <si>
    <t>France</t>
  </si>
  <si>
    <t>CAC_40</t>
  </si>
  <si>
    <t>India</t>
  </si>
  <si>
    <t>Sensex</t>
  </si>
  <si>
    <t>INR</t>
  </si>
  <si>
    <t>BBB-</t>
  </si>
  <si>
    <t>Canada</t>
  </si>
  <si>
    <t>TSX</t>
  </si>
  <si>
    <t>CAD</t>
  </si>
  <si>
    <t>Brazil</t>
  </si>
  <si>
    <t>Bovespa</t>
  </si>
  <si>
    <t>BRL</t>
  </si>
  <si>
    <t>BB-</t>
  </si>
  <si>
    <t>Weak</t>
  </si>
  <si>
    <t>Australia</t>
  </si>
  <si>
    <t>ASX_200</t>
  </si>
  <si>
    <t>AUD</t>
  </si>
  <si>
    <t>South Korea</t>
  </si>
  <si>
    <t>KOSPI</t>
  </si>
  <si>
    <t>KRW</t>
  </si>
  <si>
    <t>Russia</t>
  </si>
  <si>
    <t>MOEX</t>
  </si>
  <si>
    <t>RUB</t>
  </si>
  <si>
    <t>BB+</t>
  </si>
  <si>
    <t>Mexico</t>
  </si>
  <si>
    <t>IPC</t>
  </si>
  <si>
    <t>MXN</t>
  </si>
  <si>
    <t>BBB</t>
  </si>
  <si>
    <t>Italy</t>
  </si>
  <si>
    <t>FTSE_MIB</t>
  </si>
  <si>
    <t>Spain</t>
  </si>
  <si>
    <t>IBEX_35</t>
  </si>
  <si>
    <t>A</t>
  </si>
  <si>
    <t>Netherlands</t>
  </si>
  <si>
    <t>AEX</t>
  </si>
  <si>
    <t>Switzerland</t>
  </si>
  <si>
    <t>SMI</t>
  </si>
  <si>
    <t>CHF</t>
  </si>
  <si>
    <t>Sweden</t>
  </si>
  <si>
    <t>OMX_Stockholm</t>
  </si>
  <si>
    <t>SEK</t>
  </si>
  <si>
    <t>Norway</t>
  </si>
  <si>
    <t>OSE</t>
  </si>
  <si>
    <t>NOK</t>
  </si>
  <si>
    <t>Denmark</t>
  </si>
  <si>
    <t>OMXC_20</t>
  </si>
  <si>
    <t>DKK</t>
  </si>
  <si>
    <t>Singapore</t>
  </si>
  <si>
    <t>STI</t>
  </si>
  <si>
    <t>SGD</t>
  </si>
  <si>
    <t>Hong Kong</t>
  </si>
  <si>
    <t>Hang_Seng</t>
  </si>
  <si>
    <t>HKD</t>
  </si>
  <si>
    <t>AA+</t>
  </si>
  <si>
    <t>Taiwan</t>
  </si>
  <si>
    <t>TAIEX</t>
  </si>
  <si>
    <t>TWD</t>
  </si>
  <si>
    <t>Indonesia</t>
  </si>
  <si>
    <t>JCI</t>
  </si>
  <si>
    <t>IDR</t>
  </si>
  <si>
    <t>Thailand</t>
  </si>
  <si>
    <t>SET</t>
  </si>
  <si>
    <t>THB</t>
  </si>
  <si>
    <t>BBB+</t>
  </si>
  <si>
    <t>Malaysia</t>
  </si>
  <si>
    <t>KLCI</t>
  </si>
  <si>
    <t>MYR</t>
  </si>
  <si>
    <t>A-</t>
  </si>
  <si>
    <t>Philippines</t>
  </si>
  <si>
    <t>PSE</t>
  </si>
  <si>
    <t>PHP</t>
  </si>
  <si>
    <t>Vietnam</t>
  </si>
  <si>
    <t>VN_Index</t>
  </si>
  <si>
    <t>VND</t>
  </si>
  <si>
    <t>Turkey</t>
  </si>
  <si>
    <t>BIST_100</t>
  </si>
  <si>
    <t>TRY</t>
  </si>
  <si>
    <t>B+</t>
  </si>
  <si>
    <t>South Africa</t>
  </si>
  <si>
    <t>JSE</t>
  </si>
  <si>
    <t>ZAR</t>
  </si>
  <si>
    <t>Egypt</t>
  </si>
  <si>
    <t>EGX_30</t>
  </si>
  <si>
    <t>EGP</t>
  </si>
  <si>
    <t>Nigeria</t>
  </si>
  <si>
    <t>NSE</t>
  </si>
  <si>
    <t>NGN</t>
  </si>
  <si>
    <t>B-</t>
  </si>
  <si>
    <t>Chile</t>
  </si>
  <si>
    <t>IPSA</t>
  </si>
  <si>
    <t>CLP</t>
  </si>
  <si>
    <t>Argentina</t>
  </si>
  <si>
    <t>Merval</t>
  </si>
  <si>
    <t>ARS</t>
  </si>
  <si>
    <t>CCC+</t>
  </si>
  <si>
    <t>Colombia</t>
  </si>
  <si>
    <t>COLCAP</t>
  </si>
  <si>
    <t>COP</t>
  </si>
  <si>
    <t>Peru</t>
  </si>
  <si>
    <t>Lima_General</t>
  </si>
  <si>
    <t>PEN</t>
  </si>
  <si>
    <t>UAE</t>
  </si>
  <si>
    <t>ADX</t>
  </si>
  <si>
    <t>AED</t>
  </si>
  <si>
    <t>Saudi Arabia</t>
  </si>
  <si>
    <t>Tadawul</t>
  </si>
  <si>
    <t>SAR</t>
  </si>
  <si>
    <t>Israel</t>
  </si>
  <si>
    <t>TA_125</t>
  </si>
  <si>
    <t>ILS</t>
  </si>
  <si>
    <t>Sum of GDP_Growth_Rate_Percent</t>
  </si>
  <si>
    <t>Sum of Inflation_Rate_Percent</t>
  </si>
  <si>
    <t>Sum of Unemployment_Rate_Percent</t>
  </si>
  <si>
    <t>Sum of Export_Growth_Percent</t>
  </si>
  <si>
    <t>Sum of Import_Growth_Percent</t>
  </si>
  <si>
    <t>Sum of Current_Account_Balance_Billion_USD</t>
  </si>
  <si>
    <t>Sum of Daily_Change_Percent</t>
  </si>
  <si>
    <t>(All)</t>
  </si>
  <si>
    <t>Sum of Market_Cap_Trillion_USD</t>
  </si>
  <si>
    <t>Sum of Daily_Change_Percent2</t>
  </si>
  <si>
    <t>Column Labels</t>
  </si>
  <si>
    <t>Count of Country</t>
  </si>
  <si>
    <t>Sum of Interest_Rate_Percent</t>
  </si>
  <si>
    <t>Sum of Government_Debt_GDP_Percent</t>
  </si>
  <si>
    <t>Sum of Oil_Price_USD_Barrel</t>
  </si>
  <si>
    <t>Sum of Gold_Price_USD_Ounce</t>
  </si>
  <si>
    <t>Sum of Political_Risk_Score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</si>
</sst>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2"/>
      <color theme="1"/>
      <name val="Calibri"/>
      <family val="2"/>
      <scheme val="minor"/>
    </font>
    <font>
      <b/>
      <sz val="12"/>
      <color theme="1"/>
      <name val="Calibri"/>
      <family val="2"/>
      <scheme val="minor"/>
    </font>
    <font>
      <sz val="14"/>
      <color rgb="FF000000"/>
      <name val="-webkit-standard"/>
    </font>
    <font>
      <sz val="12"/>
      <color theme="1" tint="4.9989318521683403E-2"/>
      <name val="Calibri"/>
      <family val="2"/>
      <scheme val="minor"/>
    </font>
  </fonts>
  <fills count="5">
    <fill>
      <patternFill patternType="none"/>
    </fill>
    <fill>
      <patternFill patternType="gray125"/>
    </fill>
    <fill>
      <patternFill patternType="solid">
        <fgColor rgb="FFFF6257"/>
        <bgColor indexed="64"/>
      </patternFill>
    </fill>
    <fill>
      <patternFill patternType="solid">
        <fgColor theme="4" tint="0.59999389629810485"/>
        <bgColor indexed="64"/>
      </patternFill>
    </fill>
    <fill>
      <patternFill patternType="solid">
        <fgColor theme="9" tint="0.39997558519241921"/>
        <bgColor indexed="64"/>
      </patternFill>
    </fill>
  </fills>
  <borders count="10">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bottom style="medium">
        <color indexed="64"/>
      </bottom>
      <diagonal/>
    </border>
    <border>
      <left style="medium">
        <color indexed="64"/>
      </left>
      <right style="medium">
        <color indexed="64"/>
      </right>
      <top/>
      <bottom style="medium">
        <color indexed="64"/>
      </bottom>
      <diagonal/>
    </border>
    <border>
      <left style="medium">
        <color indexed="64"/>
      </left>
      <right/>
      <top/>
      <bottom style="medium">
        <color indexed="64"/>
      </bottom>
      <diagonal/>
    </border>
    <border>
      <left/>
      <right style="medium">
        <color indexed="64"/>
      </right>
      <top style="medium">
        <color indexed="64"/>
      </top>
      <bottom/>
      <diagonal/>
    </border>
    <border>
      <left style="medium">
        <color indexed="64"/>
      </left>
      <right style="medium">
        <color indexed="64"/>
      </right>
      <top style="medium">
        <color indexed="64"/>
      </top>
      <bottom/>
      <diagonal/>
    </border>
    <border>
      <left style="medium">
        <color indexed="64"/>
      </left>
      <right/>
      <top style="medium">
        <color indexed="64"/>
      </top>
      <bottom/>
      <diagonal/>
    </border>
  </borders>
  <cellStyleXfs count="1">
    <xf numFmtId="0" fontId="0" fillId="0" borderId="0"/>
  </cellStyleXfs>
  <cellXfs count="25">
    <xf numFmtId="0" fontId="0" fillId="0" borderId="0" xfId="0"/>
    <xf numFmtId="0" fontId="2" fillId="0" borderId="0" xfId="0" applyFont="1"/>
    <xf numFmtId="0" fontId="0" fillId="0" borderId="1" xfId="0" applyBorder="1" applyAlignment="1">
      <alignment vertical="center" wrapText="1"/>
    </xf>
    <xf numFmtId="0" fontId="0" fillId="0" borderId="0" xfId="0" pivotButton="1"/>
    <xf numFmtId="0" fontId="0" fillId="0" borderId="0" xfId="0" applyAlignment="1">
      <alignment horizontal="left"/>
    </xf>
    <xf numFmtId="0" fontId="0" fillId="0" borderId="0" xfId="0" applyNumberFormat="1"/>
    <xf numFmtId="0" fontId="0" fillId="3" borderId="0" xfId="0" applyFill="1"/>
    <xf numFmtId="0" fontId="1" fillId="4" borderId="1" xfId="0" applyFont="1" applyFill="1" applyBorder="1" applyAlignment="1">
      <alignment vertical="center" wrapText="1"/>
    </xf>
    <xf numFmtId="14" fontId="0" fillId="0" borderId="0" xfId="0" applyNumberFormat="1"/>
    <xf numFmtId="2" fontId="0" fillId="0" borderId="0" xfId="0" applyNumberFormat="1"/>
    <xf numFmtId="10" fontId="0" fillId="0" borderId="0" xfId="0" applyNumberFormat="1"/>
    <xf numFmtId="49" fontId="0" fillId="0" borderId="0" xfId="0" applyNumberFormat="1"/>
    <xf numFmtId="14" fontId="0" fillId="0" borderId="0" xfId="0" applyNumberFormat="1" applyAlignment="1">
      <alignment horizontal="left"/>
    </xf>
    <xf numFmtId="0" fontId="0" fillId="0" borderId="2" xfId="0" applyBorder="1" applyAlignment="1">
      <alignment vertical="center" wrapText="1"/>
    </xf>
    <xf numFmtId="0" fontId="0" fillId="0" borderId="3" xfId="0" applyBorder="1" applyAlignment="1">
      <alignment vertical="center" wrapText="1"/>
    </xf>
    <xf numFmtId="0" fontId="1" fillId="4" borderId="4" xfId="0" applyFont="1" applyFill="1" applyBorder="1" applyAlignment="1">
      <alignment vertical="center" wrapText="1"/>
    </xf>
    <xf numFmtId="0" fontId="1" fillId="4" borderId="5" xfId="0" applyFont="1" applyFill="1" applyBorder="1" applyAlignment="1">
      <alignment vertical="center" wrapText="1"/>
    </xf>
    <xf numFmtId="0" fontId="1" fillId="4" borderId="6" xfId="0" applyFont="1" applyFill="1" applyBorder="1" applyAlignment="1">
      <alignment vertical="center" wrapText="1"/>
    </xf>
    <xf numFmtId="0" fontId="0" fillId="0" borderId="7" xfId="0" applyBorder="1" applyAlignment="1">
      <alignment vertical="center" wrapText="1"/>
    </xf>
    <xf numFmtId="0" fontId="0" fillId="0" borderId="8" xfId="0" applyBorder="1" applyAlignment="1">
      <alignment vertical="center" wrapText="1"/>
    </xf>
    <xf numFmtId="0" fontId="0" fillId="0" borderId="9" xfId="0" applyBorder="1" applyAlignment="1">
      <alignment vertical="center" wrapText="1"/>
    </xf>
    <xf numFmtId="0" fontId="3" fillId="2" borderId="3" xfId="0" applyFont="1" applyFill="1" applyBorder="1" applyAlignment="1">
      <alignment vertical="center" wrapText="1"/>
    </xf>
    <xf numFmtId="0" fontId="1" fillId="0" borderId="4" xfId="0" applyFont="1" applyBorder="1" applyAlignment="1">
      <alignment vertical="center" wrapText="1"/>
    </xf>
    <xf numFmtId="0" fontId="1" fillId="0" borderId="5" xfId="0" applyFont="1" applyBorder="1" applyAlignment="1">
      <alignment vertical="center" wrapText="1"/>
    </xf>
    <xf numFmtId="0" fontId="1" fillId="0" borderId="6" xfId="0" applyFont="1" applyBorder="1" applyAlignment="1">
      <alignment vertical="center" wrapText="1"/>
    </xf>
  </cellXfs>
  <cellStyles count="1">
    <cellStyle name="Normal" xfId="0" builtinId="0"/>
  </cellStyles>
  <dxfs count="32">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strike val="0"/>
        <condense val="0"/>
        <extend val="0"/>
        <outline val="0"/>
        <shadow val="0"/>
        <u val="none"/>
        <vertAlign val="baseline"/>
        <sz val="12"/>
        <color theme="1"/>
        <name val="Calibri"/>
        <family val="2"/>
        <scheme val="minor"/>
      </font>
      <alignment horizontal="general" vertical="center" textRotation="0" wrapText="1" indent="0" justifyLastLine="0" shrinkToFit="0" readingOrder="0"/>
      <border diagonalUp="0" diagonalDown="0" outline="0">
        <left style="medium">
          <color indexed="64"/>
        </left>
        <right style="medium">
          <color indexed="64"/>
        </right>
        <top/>
        <bottom/>
      </border>
    </dxf>
    <dxf>
      <font>
        <b val="0"/>
        <i val="0"/>
        <strike val="0"/>
        <condense val="0"/>
        <extend val="0"/>
        <outline val="0"/>
        <shadow val="0"/>
        <u val="none"/>
        <vertAlign val="baseline"/>
        <sz val="12"/>
        <color theme="1" tint="4.9989318521683403E-2"/>
        <name val="Calibri"/>
        <family val="2"/>
        <scheme val="minor"/>
      </font>
      <fill>
        <patternFill patternType="solid">
          <fgColor indexed="64"/>
          <bgColor rgb="FFFF6257"/>
        </patternFill>
      </fill>
      <alignment horizontal="general" vertical="center" textRotation="0" wrapText="1" indent="0" justifyLastLine="0" shrinkToFit="0" readingOrder="0"/>
      <border diagonalUp="0" diagonalDown="0">
        <left style="medium">
          <color indexed="64"/>
        </left>
        <right/>
        <top style="medium">
          <color indexed="64"/>
        </top>
        <bottom style="medium">
          <color indexed="64"/>
        </bottom>
        <vertical/>
        <horizontal/>
      </border>
    </dxf>
    <dxf>
      <alignment horizontal="general" vertical="center" textRotation="0" wrapText="1" indent="0" justifyLastLine="0" shrinkToFit="0" readingOrder="0"/>
      <border diagonalUp="0" diagonalDown="0">
        <left style="medium">
          <color indexed="64"/>
        </left>
        <right style="medium">
          <color indexed="64"/>
        </right>
        <top style="medium">
          <color indexed="64"/>
        </top>
        <bottom style="medium">
          <color indexed="64"/>
        </bottom>
        <vertical/>
        <horizontal/>
      </border>
    </dxf>
    <dxf>
      <alignment horizontal="general" vertical="center" textRotation="0" wrapText="1" indent="0" justifyLastLine="0" shrinkToFit="0" readingOrder="0"/>
      <border diagonalUp="0" diagonalDown="0">
        <left/>
        <right style="medium">
          <color indexed="64"/>
        </right>
        <top style="medium">
          <color indexed="64"/>
        </top>
        <bottom style="medium">
          <color indexed="64"/>
        </bottom>
        <vertical/>
        <horizontal/>
      </border>
    </dxf>
    <dxf>
      <border outline="0">
        <top style="medium">
          <color indexed="64"/>
        </top>
      </border>
    </dxf>
    <dxf>
      <border outline="0">
        <bottom style="medium">
          <color indexed="64"/>
        </bottom>
      </border>
    </dxf>
    <dxf>
      <border outline="0">
        <left style="medium">
          <color indexed="64"/>
        </left>
        <right style="medium">
          <color indexed="64"/>
        </right>
        <top style="medium">
          <color indexed="64"/>
        </top>
        <bottom style="medium">
          <color indexed="64"/>
        </bottom>
      </border>
    </dxf>
    <dxf>
      <numFmt numFmtId="0" formatCode="General"/>
      <alignment horizontal="general" vertical="center" textRotation="0" wrapText="1" indent="0" justifyLastLine="0" shrinkToFit="0" readingOrder="0"/>
      <border diagonalUp="0" diagonalDown="0">
        <left style="medium">
          <color indexed="64"/>
        </left>
        <right/>
        <top style="medium">
          <color indexed="64"/>
        </top>
        <bottom style="medium">
          <color indexed="64"/>
        </bottom>
        <vertical/>
        <horizontal/>
      </border>
    </dxf>
    <dxf>
      <alignment horizontal="general" vertical="center" textRotation="0" wrapText="1" indent="0" justifyLastLine="0" shrinkToFit="0" readingOrder="0"/>
      <border diagonalUp="0" diagonalDown="0">
        <left style="medium">
          <color indexed="64"/>
        </left>
        <right/>
        <top style="medium">
          <color indexed="64"/>
        </top>
        <bottom style="medium">
          <color indexed="64"/>
        </bottom>
        <vertical/>
        <horizontal/>
      </border>
    </dxf>
    <dxf>
      <alignment horizontal="general" vertical="center" textRotation="0" wrapText="1" indent="0" justifyLastLine="0" shrinkToFit="0" readingOrder="0"/>
      <border diagonalUp="0" diagonalDown="0">
        <left style="medium">
          <color indexed="64"/>
        </left>
        <right style="medium">
          <color indexed="64"/>
        </right>
        <top style="medium">
          <color indexed="64"/>
        </top>
        <bottom style="medium">
          <color indexed="64"/>
        </bottom>
        <vertical/>
        <horizontal/>
      </border>
    </dxf>
    <dxf>
      <alignment horizontal="general" vertical="center" textRotation="0" wrapText="1" indent="0" justifyLastLine="0" shrinkToFit="0" readingOrder="0"/>
      <border diagonalUp="0" diagonalDown="0">
        <left/>
        <right style="medium">
          <color indexed="64"/>
        </right>
        <top style="medium">
          <color indexed="64"/>
        </top>
        <bottom style="medium">
          <color indexed="64"/>
        </bottom>
        <vertical/>
        <horizontal/>
      </border>
    </dxf>
    <dxf>
      <border outline="0">
        <top style="medium">
          <color indexed="64"/>
        </top>
      </border>
    </dxf>
    <dxf>
      <border outline="0">
        <bottom style="medium">
          <color indexed="64"/>
        </bottom>
      </border>
    </dxf>
    <dxf>
      <border outline="0">
        <left style="medium">
          <color indexed="64"/>
        </left>
        <right style="medium">
          <color indexed="64"/>
        </right>
        <top style="medium">
          <color indexed="64"/>
        </top>
        <bottom style="medium">
          <color indexed="64"/>
        </bottom>
      </border>
    </dxf>
    <dxf>
      <font>
        <b/>
        <i val="0"/>
        <strike val="0"/>
        <condense val="0"/>
        <extend val="0"/>
        <outline val="0"/>
        <shadow val="0"/>
        <u val="none"/>
        <vertAlign val="baseline"/>
        <sz val="12"/>
        <color theme="1"/>
        <name val="Calibri"/>
        <family val="2"/>
        <scheme val="minor"/>
      </font>
      <fill>
        <patternFill patternType="solid">
          <fgColor indexed="64"/>
          <bgColor theme="9" tint="0.39997558519241921"/>
        </patternFill>
      </fill>
      <alignment horizontal="general" vertical="center" textRotation="0" wrapText="1" indent="0" justifyLastLine="0" shrinkToFit="0" readingOrder="0"/>
      <border diagonalUp="0" diagonalDown="0" outline="0">
        <left style="medium">
          <color indexed="64"/>
        </left>
        <right style="medium">
          <color indexed="64"/>
        </right>
        <top/>
        <bottom/>
      </border>
    </dxf>
    <dxf>
      <alignment horizontal="general" vertical="center" textRotation="0" wrapText="1" indent="0" justifyLastLine="0" shrinkToFit="0" readingOrder="0"/>
      <border diagonalUp="0" diagonalDown="0">
        <left style="medium">
          <color indexed="64"/>
        </left>
        <right/>
        <top style="medium">
          <color indexed="64"/>
        </top>
        <bottom style="medium">
          <color indexed="64"/>
        </bottom>
        <vertical/>
        <horizontal/>
      </border>
    </dxf>
    <dxf>
      <font>
        <b/>
        <i val="0"/>
        <strike val="0"/>
        <condense val="0"/>
        <extend val="0"/>
        <outline val="0"/>
        <shadow val="0"/>
        <u val="none"/>
        <vertAlign val="baseline"/>
        <sz val="12"/>
        <color theme="1"/>
        <name val="Calibri"/>
        <family val="2"/>
        <scheme val="minor"/>
      </font>
      <fill>
        <patternFill patternType="solid">
          <fgColor indexed="64"/>
          <bgColor theme="9" tint="0.39997558519241921"/>
        </patternFill>
      </fill>
      <alignment horizontal="general" vertical="center" textRotation="0" wrapText="1" indent="0" justifyLastLine="0" shrinkToFit="0" readingOrder="0"/>
      <border diagonalUp="0" diagonalDown="0" outline="0">
        <left style="medium">
          <color indexed="64"/>
        </left>
        <right style="medium">
          <color indexed="64"/>
        </right>
        <top/>
        <bottom/>
      </border>
    </dxf>
    <dxf>
      <alignment horizontal="general" vertical="center" textRotation="0" wrapText="1" indent="0" justifyLastLine="0" shrinkToFit="0" readingOrder="0"/>
      <border diagonalUp="0" diagonalDown="0">
        <left style="medium">
          <color indexed="64"/>
        </left>
        <right style="medium">
          <color indexed="64"/>
        </right>
        <top style="medium">
          <color indexed="64"/>
        </top>
        <bottom style="medium">
          <color indexed="64"/>
        </bottom>
        <vertical/>
        <horizontal/>
      </border>
    </dxf>
    <dxf>
      <alignment horizontal="general" vertical="center" textRotation="0" wrapText="1" indent="0" justifyLastLine="0" shrinkToFit="0" readingOrder="0"/>
      <border diagonalUp="0" diagonalDown="0">
        <left/>
        <right style="medium">
          <color indexed="64"/>
        </right>
        <top style="medium">
          <color indexed="64"/>
        </top>
        <bottom style="medium">
          <color indexed="64"/>
        </bottom>
        <vertical/>
        <horizontal/>
      </border>
    </dxf>
    <dxf>
      <border outline="0">
        <top style="medium">
          <color indexed="64"/>
        </top>
      </border>
    </dxf>
    <dxf>
      <border outline="0">
        <bottom style="medium">
          <color indexed="64"/>
        </bottom>
      </border>
    </dxf>
    <dxf>
      <border outline="0">
        <left style="medium">
          <color indexed="64"/>
        </left>
        <right style="medium">
          <color indexed="64"/>
        </right>
        <top style="medium">
          <color indexed="64"/>
        </top>
        <bottom style="medium">
          <color indexed="64"/>
        </bottom>
      </border>
    </dxf>
    <dxf>
      <numFmt numFmtId="14" formatCode="0.00%"/>
    </dxf>
    <dxf>
      <numFmt numFmtId="14" formatCode="0.00%"/>
    </dxf>
    <dxf>
      <numFmt numFmtId="14" formatCode="0.00%"/>
    </dxf>
    <dxf>
      <numFmt numFmtId="30" formatCode="@"/>
    </dxf>
    <dxf>
      <numFmt numFmtId="30" formatCode="@"/>
    </dxf>
    <dxf>
      <numFmt numFmtId="19" formatCode="dd/mm/yy"/>
    </dxf>
    <dxf>
      <numFmt numFmtId="30" formatCode="@"/>
    </dxf>
  </dxfs>
  <tableStyles count="0" defaultTableStyle="TableStyleMedium2" defaultPivotStyle="PivotStyleLight16"/>
  <colors>
    <mruColors>
      <color rgb="FFFF625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4.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5.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6.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7.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8.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20.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21.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2.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3.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4.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4"/>
    </mc:Choice>
    <mc:Fallback>
      <c:style val="4"/>
    </mc:Fallback>
  </mc:AlternateContent>
  <c:pivotSource>
    <c:name>[Saravanan Milestone.xlsx]Sheet12!PivotTable12</c:name>
    <c:fmtId val="10"/>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marker>
          <c:symbol val="circle"/>
          <c:size val="6"/>
          <c:spPr>
            <a:solidFill>
              <a:schemeClr val="accent2">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Sheet12!$B$3</c:f>
              <c:strCache>
                <c:ptCount val="1"/>
                <c:pt idx="0">
                  <c:v>Total</c:v>
                </c:pt>
              </c:strCache>
            </c:strRef>
          </c:tx>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invertIfNegative val="0"/>
          <c:cat>
            <c:strRef>
              <c:f>Sheet12!$A$4:$A$43</c:f>
              <c:strCache>
                <c:ptCount val="39"/>
                <c:pt idx="0">
                  <c:v>Argentina</c:v>
                </c:pt>
                <c:pt idx="1">
                  <c:v>Australia</c:v>
                </c:pt>
                <c:pt idx="2">
                  <c:v>Brazil</c:v>
                </c:pt>
                <c:pt idx="3">
                  <c:v>Canada</c:v>
                </c:pt>
                <c:pt idx="4">
                  <c:v>Chile</c:v>
                </c:pt>
                <c:pt idx="5">
                  <c:v>China</c:v>
                </c:pt>
                <c:pt idx="6">
                  <c:v>Colombia</c:v>
                </c:pt>
                <c:pt idx="7">
                  <c:v>Denmark</c:v>
                </c:pt>
                <c:pt idx="8">
                  <c:v>Egypt</c:v>
                </c:pt>
                <c:pt idx="9">
                  <c:v>France</c:v>
                </c:pt>
                <c:pt idx="10">
                  <c:v>Germany</c:v>
                </c:pt>
                <c:pt idx="11">
                  <c:v>Hong Kong</c:v>
                </c:pt>
                <c:pt idx="12">
                  <c:v>India</c:v>
                </c:pt>
                <c:pt idx="13">
                  <c:v>Indonesia</c:v>
                </c:pt>
                <c:pt idx="14">
                  <c:v>Israel</c:v>
                </c:pt>
                <c:pt idx="15">
                  <c:v>Italy</c:v>
                </c:pt>
                <c:pt idx="16">
                  <c:v>Japan</c:v>
                </c:pt>
                <c:pt idx="17">
                  <c:v>Malaysia</c:v>
                </c:pt>
                <c:pt idx="18">
                  <c:v>Mexico</c:v>
                </c:pt>
                <c:pt idx="19">
                  <c:v>Netherlands</c:v>
                </c:pt>
                <c:pt idx="20">
                  <c:v>Nigeria</c:v>
                </c:pt>
                <c:pt idx="21">
                  <c:v>Norway</c:v>
                </c:pt>
                <c:pt idx="22">
                  <c:v>Peru</c:v>
                </c:pt>
                <c:pt idx="23">
                  <c:v>Philippines</c:v>
                </c:pt>
                <c:pt idx="24">
                  <c:v>Russia</c:v>
                </c:pt>
                <c:pt idx="25">
                  <c:v>Saudi Arabia</c:v>
                </c:pt>
                <c:pt idx="26">
                  <c:v>Singapore</c:v>
                </c:pt>
                <c:pt idx="27">
                  <c:v>South Africa</c:v>
                </c:pt>
                <c:pt idx="28">
                  <c:v>South Korea</c:v>
                </c:pt>
                <c:pt idx="29">
                  <c:v>Spain</c:v>
                </c:pt>
                <c:pt idx="30">
                  <c:v>Sweden</c:v>
                </c:pt>
                <c:pt idx="31">
                  <c:v>Switzerland</c:v>
                </c:pt>
                <c:pt idx="32">
                  <c:v>Taiwan</c:v>
                </c:pt>
                <c:pt idx="33">
                  <c:v>Thailand</c:v>
                </c:pt>
                <c:pt idx="34">
                  <c:v>Turkey</c:v>
                </c:pt>
                <c:pt idx="35">
                  <c:v>UAE</c:v>
                </c:pt>
                <c:pt idx="36">
                  <c:v>United Kingdom</c:v>
                </c:pt>
                <c:pt idx="37">
                  <c:v>United States</c:v>
                </c:pt>
                <c:pt idx="38">
                  <c:v>Vietnam</c:v>
                </c:pt>
              </c:strCache>
            </c:strRef>
          </c:cat>
          <c:val>
            <c:numRef>
              <c:f>Sheet12!$B$4:$B$43</c:f>
              <c:numCache>
                <c:formatCode>General</c:formatCode>
                <c:ptCount val="39"/>
                <c:pt idx="0">
                  <c:v>3.45</c:v>
                </c:pt>
                <c:pt idx="1">
                  <c:v>0.22</c:v>
                </c:pt>
                <c:pt idx="2">
                  <c:v>1.67</c:v>
                </c:pt>
                <c:pt idx="3">
                  <c:v>0.45</c:v>
                </c:pt>
                <c:pt idx="4">
                  <c:v>0.67</c:v>
                </c:pt>
                <c:pt idx="5">
                  <c:v>-0.82</c:v>
                </c:pt>
                <c:pt idx="6">
                  <c:v>0.89</c:v>
                </c:pt>
                <c:pt idx="7">
                  <c:v>0.23</c:v>
                </c:pt>
                <c:pt idx="8">
                  <c:v>1.45</c:v>
                </c:pt>
                <c:pt idx="9">
                  <c:v>0.28000000000000003</c:v>
                </c:pt>
                <c:pt idx="10">
                  <c:v>0.67</c:v>
                </c:pt>
                <c:pt idx="11">
                  <c:v>-1.23</c:v>
                </c:pt>
                <c:pt idx="12">
                  <c:v>0.89</c:v>
                </c:pt>
                <c:pt idx="13">
                  <c:v>0.45</c:v>
                </c:pt>
                <c:pt idx="14">
                  <c:v>-0.78</c:v>
                </c:pt>
                <c:pt idx="15">
                  <c:v>0.34</c:v>
                </c:pt>
                <c:pt idx="16">
                  <c:v>1.24</c:v>
                </c:pt>
                <c:pt idx="17">
                  <c:v>0.67</c:v>
                </c:pt>
                <c:pt idx="18">
                  <c:v>0.91</c:v>
                </c:pt>
                <c:pt idx="19">
                  <c:v>0.12</c:v>
                </c:pt>
                <c:pt idx="20">
                  <c:v>2.1</c:v>
                </c:pt>
                <c:pt idx="21">
                  <c:v>0.67</c:v>
                </c:pt>
                <c:pt idx="22">
                  <c:v>1.1200000000000001</c:v>
                </c:pt>
                <c:pt idx="23">
                  <c:v>0.89</c:v>
                </c:pt>
                <c:pt idx="24">
                  <c:v>0.78</c:v>
                </c:pt>
                <c:pt idx="25">
                  <c:v>0.56000000000000005</c:v>
                </c:pt>
                <c:pt idx="26">
                  <c:v>0.56000000000000005</c:v>
                </c:pt>
                <c:pt idx="27">
                  <c:v>0.78</c:v>
                </c:pt>
                <c:pt idx="28">
                  <c:v>-0.34</c:v>
                </c:pt>
                <c:pt idx="29">
                  <c:v>0.67</c:v>
                </c:pt>
                <c:pt idx="30">
                  <c:v>0.45</c:v>
                </c:pt>
                <c:pt idx="31">
                  <c:v>0.28000000000000003</c:v>
                </c:pt>
                <c:pt idx="32">
                  <c:v>0.78</c:v>
                </c:pt>
                <c:pt idx="33">
                  <c:v>0.34</c:v>
                </c:pt>
                <c:pt idx="34">
                  <c:v>2.34</c:v>
                </c:pt>
                <c:pt idx="35">
                  <c:v>0.34</c:v>
                </c:pt>
                <c:pt idx="36">
                  <c:v>-0.15</c:v>
                </c:pt>
                <c:pt idx="37">
                  <c:v>0.34</c:v>
                </c:pt>
                <c:pt idx="38">
                  <c:v>1.23</c:v>
                </c:pt>
              </c:numCache>
            </c:numRef>
          </c:val>
          <c:extLst>
            <c:ext xmlns:c16="http://schemas.microsoft.com/office/drawing/2014/chart" uri="{C3380CC4-5D6E-409C-BE32-E72D297353CC}">
              <c16:uniqueId val="{00000000-0AAD-BE4E-862D-539F7C31285D}"/>
            </c:ext>
          </c:extLst>
        </c:ser>
        <c:dLbls>
          <c:showLegendKey val="0"/>
          <c:showVal val="0"/>
          <c:showCatName val="0"/>
          <c:showSerName val="0"/>
          <c:showPercent val="0"/>
          <c:showBubbleSize val="0"/>
        </c:dLbls>
        <c:gapWidth val="65"/>
        <c:shape val="box"/>
        <c:axId val="123654431"/>
        <c:axId val="122749263"/>
        <c:axId val="0"/>
      </c:bar3DChart>
      <c:catAx>
        <c:axId val="123654431"/>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22749263"/>
        <c:crosses val="autoZero"/>
        <c:auto val="1"/>
        <c:lblAlgn val="ctr"/>
        <c:lblOffset val="100"/>
        <c:noMultiLvlLbl val="0"/>
      </c:catAx>
      <c:valAx>
        <c:axId val="122749263"/>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23654431"/>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[Saravanan Milestone.xlsx]Sheet12!PivotTable13</c:name>
    <c:fmtId val="9"/>
  </c:pivotSource>
  <c:chart>
    <c:title>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a:sp3d contourW="9525">
            <a:contourClr>
              <a:schemeClr val="accent1">
                <a:shade val="95000"/>
              </a:schemeClr>
            </a:contourClr>
          </a:sp3d>
        </c:spPr>
        <c:marker>
          <c:symbol val="circle"/>
          <c:size val="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line3DChart>
        <c:grouping val="standard"/>
        <c:varyColors val="0"/>
        <c:ser>
          <c:idx val="0"/>
          <c:order val="0"/>
          <c:tx>
            <c:strRef>
              <c:f>Sheet12!$O$7</c:f>
              <c:strCache>
                <c:ptCount val="1"/>
                <c:pt idx="0">
                  <c:v>Total</c:v>
                </c:pt>
              </c:strCache>
            </c:strRef>
          </c:tx>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a:sp3d contourW="9525">
              <a:contourClr>
                <a:schemeClr val="accent1">
                  <a:shade val="95000"/>
                </a:schemeClr>
              </a:contourClr>
            </a:sp3d>
          </c:spPr>
          <c:cat>
            <c:strRef>
              <c:f>Sheet12!$N$8:$N$47</c:f>
              <c:strCache>
                <c:ptCount val="39"/>
                <c:pt idx="0">
                  <c:v>Argentina</c:v>
                </c:pt>
                <c:pt idx="1">
                  <c:v>Australia</c:v>
                </c:pt>
                <c:pt idx="2">
                  <c:v>Brazil</c:v>
                </c:pt>
                <c:pt idx="3">
                  <c:v>Canada</c:v>
                </c:pt>
                <c:pt idx="4">
                  <c:v>Chile</c:v>
                </c:pt>
                <c:pt idx="5">
                  <c:v>China</c:v>
                </c:pt>
                <c:pt idx="6">
                  <c:v>Colombia</c:v>
                </c:pt>
                <c:pt idx="7">
                  <c:v>Denmark</c:v>
                </c:pt>
                <c:pt idx="8">
                  <c:v>Egypt</c:v>
                </c:pt>
                <c:pt idx="9">
                  <c:v>France</c:v>
                </c:pt>
                <c:pt idx="10">
                  <c:v>Germany</c:v>
                </c:pt>
                <c:pt idx="11">
                  <c:v>Hong Kong</c:v>
                </c:pt>
                <c:pt idx="12">
                  <c:v>India</c:v>
                </c:pt>
                <c:pt idx="13">
                  <c:v>Indonesia</c:v>
                </c:pt>
                <c:pt idx="14">
                  <c:v>Israel</c:v>
                </c:pt>
                <c:pt idx="15">
                  <c:v>Italy</c:v>
                </c:pt>
                <c:pt idx="16">
                  <c:v>Japan</c:v>
                </c:pt>
                <c:pt idx="17">
                  <c:v>Malaysia</c:v>
                </c:pt>
                <c:pt idx="18">
                  <c:v>Mexico</c:v>
                </c:pt>
                <c:pt idx="19">
                  <c:v>Netherlands</c:v>
                </c:pt>
                <c:pt idx="20">
                  <c:v>Nigeria</c:v>
                </c:pt>
                <c:pt idx="21">
                  <c:v>Norway</c:v>
                </c:pt>
                <c:pt idx="22">
                  <c:v>Peru</c:v>
                </c:pt>
                <c:pt idx="23">
                  <c:v>Philippines</c:v>
                </c:pt>
                <c:pt idx="24">
                  <c:v>Russia</c:v>
                </c:pt>
                <c:pt idx="25">
                  <c:v>Saudi Arabia</c:v>
                </c:pt>
                <c:pt idx="26">
                  <c:v>Singapore</c:v>
                </c:pt>
                <c:pt idx="27">
                  <c:v>South Africa</c:v>
                </c:pt>
                <c:pt idx="28">
                  <c:v>South Korea</c:v>
                </c:pt>
                <c:pt idx="29">
                  <c:v>Spain</c:v>
                </c:pt>
                <c:pt idx="30">
                  <c:v>Sweden</c:v>
                </c:pt>
                <c:pt idx="31">
                  <c:v>Switzerland</c:v>
                </c:pt>
                <c:pt idx="32">
                  <c:v>Taiwan</c:v>
                </c:pt>
                <c:pt idx="33">
                  <c:v>Thailand</c:v>
                </c:pt>
                <c:pt idx="34">
                  <c:v>Turkey</c:v>
                </c:pt>
                <c:pt idx="35">
                  <c:v>UAE</c:v>
                </c:pt>
                <c:pt idx="36">
                  <c:v>United Kingdom</c:v>
                </c:pt>
                <c:pt idx="37">
                  <c:v>United States</c:v>
                </c:pt>
                <c:pt idx="38">
                  <c:v>Vietnam</c:v>
                </c:pt>
              </c:strCache>
            </c:strRef>
          </c:cat>
          <c:val>
            <c:numRef>
              <c:f>Sheet12!$O$8:$O$47</c:f>
              <c:numCache>
                <c:formatCode>General</c:formatCode>
                <c:ptCount val="39"/>
                <c:pt idx="0">
                  <c:v>0.05</c:v>
                </c:pt>
                <c:pt idx="1">
                  <c:v>1.8</c:v>
                </c:pt>
                <c:pt idx="2">
                  <c:v>1.4</c:v>
                </c:pt>
                <c:pt idx="3">
                  <c:v>2.8</c:v>
                </c:pt>
                <c:pt idx="4">
                  <c:v>0.2</c:v>
                </c:pt>
                <c:pt idx="5">
                  <c:v>12.4</c:v>
                </c:pt>
                <c:pt idx="6">
                  <c:v>0.1</c:v>
                </c:pt>
                <c:pt idx="7">
                  <c:v>0.4</c:v>
                </c:pt>
                <c:pt idx="8">
                  <c:v>0.03</c:v>
                </c:pt>
                <c:pt idx="9">
                  <c:v>3</c:v>
                </c:pt>
                <c:pt idx="10">
                  <c:v>2.9</c:v>
                </c:pt>
                <c:pt idx="11">
                  <c:v>4.2</c:v>
                </c:pt>
                <c:pt idx="12">
                  <c:v>4.3</c:v>
                </c:pt>
                <c:pt idx="13">
                  <c:v>0.7</c:v>
                </c:pt>
                <c:pt idx="14">
                  <c:v>0.4</c:v>
                </c:pt>
                <c:pt idx="15">
                  <c:v>0.9</c:v>
                </c:pt>
                <c:pt idx="16">
                  <c:v>6.8</c:v>
                </c:pt>
                <c:pt idx="17">
                  <c:v>0.5</c:v>
                </c:pt>
                <c:pt idx="18">
                  <c:v>0.7</c:v>
                </c:pt>
                <c:pt idx="19">
                  <c:v>1.1000000000000001</c:v>
                </c:pt>
                <c:pt idx="20">
                  <c:v>0.04</c:v>
                </c:pt>
                <c:pt idx="21">
                  <c:v>0.4</c:v>
                </c:pt>
                <c:pt idx="22">
                  <c:v>0.08</c:v>
                </c:pt>
                <c:pt idx="23">
                  <c:v>0.3</c:v>
                </c:pt>
                <c:pt idx="24">
                  <c:v>0.6</c:v>
                </c:pt>
                <c:pt idx="25">
                  <c:v>2.8</c:v>
                </c:pt>
                <c:pt idx="26">
                  <c:v>0.8</c:v>
                </c:pt>
                <c:pt idx="27">
                  <c:v>0.4</c:v>
                </c:pt>
                <c:pt idx="28">
                  <c:v>1.9</c:v>
                </c:pt>
                <c:pt idx="29">
                  <c:v>0.8</c:v>
                </c:pt>
                <c:pt idx="30">
                  <c:v>0.7</c:v>
                </c:pt>
                <c:pt idx="31">
                  <c:v>1.8</c:v>
                </c:pt>
                <c:pt idx="32">
                  <c:v>2.1</c:v>
                </c:pt>
                <c:pt idx="33">
                  <c:v>0.6</c:v>
                </c:pt>
                <c:pt idx="34">
                  <c:v>0.3</c:v>
                </c:pt>
                <c:pt idx="35">
                  <c:v>0.7</c:v>
                </c:pt>
                <c:pt idx="36">
                  <c:v>3.1</c:v>
                </c:pt>
                <c:pt idx="37">
                  <c:v>51.2</c:v>
                </c:pt>
                <c:pt idx="38">
                  <c:v>0.3</c:v>
                </c:pt>
              </c:numCache>
            </c:numRef>
          </c:val>
          <c:smooth val="0"/>
          <c:extLst>
            <c:ext xmlns:c16="http://schemas.microsoft.com/office/drawing/2014/chart" uri="{C3380CC4-5D6E-409C-BE32-E72D297353CC}">
              <c16:uniqueId val="{00000000-09FF-EB45-AA1D-1CB0841CA64D}"/>
            </c:ext>
          </c:extLst>
        </c:ser>
        <c:dLbls>
          <c:showLegendKey val="0"/>
          <c:showVal val="0"/>
          <c:showCatName val="0"/>
          <c:showSerName val="0"/>
          <c:showPercent val="0"/>
          <c:showBubbleSize val="0"/>
        </c:dLbls>
        <c:axId val="135774175"/>
        <c:axId val="86242623"/>
        <c:axId val="140669519"/>
      </c:line3DChart>
      <c:catAx>
        <c:axId val="1357741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86242623"/>
        <c:crosses val="autoZero"/>
        <c:auto val="1"/>
        <c:lblAlgn val="ctr"/>
        <c:lblOffset val="100"/>
        <c:noMultiLvlLbl val="0"/>
      </c:catAx>
      <c:valAx>
        <c:axId val="862426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35774175"/>
        <c:crosses val="autoZero"/>
        <c:crossBetween val="between"/>
      </c:valAx>
      <c:serAx>
        <c:axId val="140669519"/>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86242623"/>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[Saravanan Milestone.xlsx]Sheet12!PivotTable15</c:name>
    <c:fmtId val="1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
        <c:idx val="13"/>
        <c:spPr>
          <a:solidFill>
            <a:schemeClr val="accent1"/>
          </a:solidFill>
          <a:ln w="25400">
            <a:solidFill>
              <a:schemeClr val="lt1"/>
            </a:solidFill>
          </a:ln>
          <a:effectLst/>
          <a:sp3d contourW="25400">
            <a:contourClr>
              <a:schemeClr val="lt1"/>
            </a:contourClr>
          </a:sp3d>
        </c:spPr>
      </c:pivotFmt>
      <c:pivotFmt>
        <c:idx val="14"/>
        <c:spPr>
          <a:solidFill>
            <a:schemeClr val="accent1"/>
          </a:solidFill>
          <a:ln w="25400">
            <a:solidFill>
              <a:schemeClr val="lt1"/>
            </a:solidFill>
          </a:ln>
          <a:effectLst/>
          <a:sp3d contourW="25400">
            <a:contourClr>
              <a:schemeClr val="lt1"/>
            </a:contourClr>
          </a:sp3d>
        </c:spPr>
      </c:pivotFmt>
      <c:pivotFmt>
        <c:idx val="15"/>
        <c:spPr>
          <a:solidFill>
            <a:schemeClr val="accent1"/>
          </a:solidFill>
          <a:ln w="25400">
            <a:solidFill>
              <a:schemeClr val="lt1"/>
            </a:solidFill>
          </a:ln>
          <a:effectLst/>
          <a:sp3d contourW="25400">
            <a:contourClr>
              <a:schemeClr val="lt1"/>
            </a:contourClr>
          </a:sp3d>
        </c:spPr>
      </c:pivotFmt>
      <c:pivotFmt>
        <c:idx val="16"/>
        <c:spPr>
          <a:solidFill>
            <a:schemeClr val="accent1"/>
          </a:solidFill>
          <a:ln w="25400">
            <a:solidFill>
              <a:schemeClr val="lt1"/>
            </a:solidFill>
          </a:ln>
          <a:effectLst/>
          <a:sp3d contourW="25400">
            <a:contourClr>
              <a:schemeClr val="lt1"/>
            </a:contourClr>
          </a:sp3d>
        </c:spPr>
      </c:pivotFmt>
      <c:pivotFmt>
        <c:idx val="17"/>
        <c:spPr>
          <a:solidFill>
            <a:schemeClr val="accent1"/>
          </a:solidFill>
          <a:ln w="25400">
            <a:solidFill>
              <a:schemeClr val="lt1"/>
            </a:solidFill>
          </a:ln>
          <a:effectLst/>
          <a:sp3d contourW="25400">
            <a:contourClr>
              <a:schemeClr val="lt1"/>
            </a:contourClr>
          </a:sp3d>
        </c:spPr>
      </c:pivotFmt>
      <c:pivotFmt>
        <c:idx val="18"/>
        <c:spPr>
          <a:solidFill>
            <a:schemeClr val="accent1"/>
          </a:solidFill>
          <a:ln w="25400">
            <a:solidFill>
              <a:schemeClr val="lt1"/>
            </a:solidFill>
          </a:ln>
          <a:effectLst/>
          <a:sp3d contourW="25400">
            <a:contourClr>
              <a:schemeClr val="lt1"/>
            </a:contourClr>
          </a:sp3d>
        </c:spPr>
      </c:pivotFmt>
      <c:pivotFmt>
        <c:idx val="19"/>
        <c:spPr>
          <a:solidFill>
            <a:schemeClr val="accent1"/>
          </a:solidFill>
          <a:ln w="25400">
            <a:solidFill>
              <a:schemeClr val="lt1"/>
            </a:solidFill>
          </a:ln>
          <a:effectLst/>
          <a:sp3d contourW="25400">
            <a:contourClr>
              <a:schemeClr val="lt1"/>
            </a:contourClr>
          </a:sp3d>
        </c:spPr>
      </c:pivotFmt>
      <c:pivotFmt>
        <c:idx val="20"/>
        <c:spPr>
          <a:solidFill>
            <a:schemeClr val="accent1"/>
          </a:solidFill>
          <a:ln w="25400">
            <a:solidFill>
              <a:schemeClr val="lt1"/>
            </a:solidFill>
          </a:ln>
          <a:effectLst/>
          <a:sp3d contourW="25400">
            <a:contourClr>
              <a:schemeClr val="lt1"/>
            </a:contourClr>
          </a:sp3d>
        </c:spPr>
      </c:pivotFmt>
      <c:pivotFmt>
        <c:idx val="21"/>
        <c:spPr>
          <a:solidFill>
            <a:schemeClr val="accent1"/>
          </a:solidFill>
          <a:ln w="25400">
            <a:solidFill>
              <a:schemeClr val="lt1"/>
            </a:solidFill>
          </a:ln>
          <a:effectLst/>
          <a:sp3d contourW="25400">
            <a:contourClr>
              <a:schemeClr val="lt1"/>
            </a:contourClr>
          </a:sp3d>
        </c:spPr>
      </c:pivotFmt>
      <c:pivotFmt>
        <c:idx val="22"/>
        <c:spPr>
          <a:solidFill>
            <a:schemeClr val="accent1"/>
          </a:solidFill>
          <a:ln w="25400">
            <a:solidFill>
              <a:schemeClr val="lt1"/>
            </a:solidFill>
          </a:ln>
          <a:effectLst/>
          <a:sp3d contourW="25400">
            <a:contourClr>
              <a:schemeClr val="lt1"/>
            </a:contourClr>
          </a:sp3d>
        </c:spPr>
      </c:pivotFmt>
      <c:pivotFmt>
        <c:idx val="23"/>
        <c:spPr>
          <a:solidFill>
            <a:schemeClr val="accent1"/>
          </a:solidFill>
          <a:ln w="25400">
            <a:solidFill>
              <a:schemeClr val="lt1"/>
            </a:solidFill>
          </a:ln>
          <a:effectLst/>
          <a:sp3d contourW="25400">
            <a:contourClr>
              <a:schemeClr val="lt1"/>
            </a:contourClr>
          </a:sp3d>
        </c:spPr>
      </c:pivotFmt>
      <c:pivotFmt>
        <c:idx val="24"/>
        <c:spPr>
          <a:solidFill>
            <a:schemeClr val="accent1"/>
          </a:solidFill>
          <a:ln w="25400">
            <a:solidFill>
              <a:schemeClr val="lt1"/>
            </a:solidFill>
          </a:ln>
          <a:effectLst/>
          <a:sp3d contourW="25400">
            <a:contourClr>
              <a:schemeClr val="lt1"/>
            </a:contourClr>
          </a:sp3d>
        </c:spPr>
      </c:pivotFmt>
      <c:pivotFmt>
        <c:idx val="25"/>
        <c:spPr>
          <a:solidFill>
            <a:schemeClr val="accent1"/>
          </a:solidFill>
          <a:ln w="25400">
            <a:solidFill>
              <a:schemeClr val="lt1"/>
            </a:solidFill>
          </a:ln>
          <a:effectLst/>
          <a:sp3d contourW="25400">
            <a:contourClr>
              <a:schemeClr val="lt1"/>
            </a:contourClr>
          </a:sp3d>
        </c:spPr>
      </c:pivotFmt>
      <c:pivotFmt>
        <c:idx val="26"/>
        <c:spPr>
          <a:solidFill>
            <a:schemeClr val="accent1"/>
          </a:solidFill>
          <a:ln w="25400">
            <a:solidFill>
              <a:schemeClr val="lt1"/>
            </a:solidFill>
          </a:ln>
          <a:effectLst/>
          <a:sp3d contourW="25400">
            <a:contourClr>
              <a:schemeClr val="lt1"/>
            </a:contourClr>
          </a:sp3d>
        </c:spPr>
      </c:pivotFmt>
      <c:pivotFmt>
        <c:idx val="27"/>
        <c:spPr>
          <a:solidFill>
            <a:schemeClr val="accent1"/>
          </a:solidFill>
          <a:ln w="25400">
            <a:solidFill>
              <a:schemeClr val="lt1"/>
            </a:solidFill>
          </a:ln>
          <a:effectLst/>
          <a:sp3d contourW="25400">
            <a:contourClr>
              <a:schemeClr val="lt1"/>
            </a:contourClr>
          </a:sp3d>
        </c:spPr>
      </c:pivotFmt>
      <c:pivotFmt>
        <c:idx val="28"/>
        <c:spPr>
          <a:solidFill>
            <a:schemeClr val="accent1"/>
          </a:solidFill>
          <a:ln w="25400">
            <a:solidFill>
              <a:schemeClr val="lt1"/>
            </a:solidFill>
          </a:ln>
          <a:effectLst/>
          <a:sp3d contourW="25400">
            <a:contourClr>
              <a:schemeClr val="lt1"/>
            </a:contourClr>
          </a:sp3d>
        </c:spPr>
      </c:pivotFmt>
      <c:pivotFmt>
        <c:idx val="29"/>
        <c:spPr>
          <a:solidFill>
            <a:schemeClr val="accent1"/>
          </a:solidFill>
          <a:ln w="25400">
            <a:solidFill>
              <a:schemeClr val="lt1"/>
            </a:solidFill>
          </a:ln>
          <a:effectLst/>
          <a:sp3d contourW="25400">
            <a:contourClr>
              <a:schemeClr val="lt1"/>
            </a:contourClr>
          </a:sp3d>
        </c:spPr>
      </c:pivotFmt>
      <c:pivotFmt>
        <c:idx val="30"/>
        <c:spPr>
          <a:solidFill>
            <a:schemeClr val="accent1"/>
          </a:solidFill>
          <a:ln w="25400">
            <a:solidFill>
              <a:schemeClr val="lt1"/>
            </a:solidFill>
          </a:ln>
          <a:effectLst/>
          <a:sp3d contourW="25400">
            <a:contourClr>
              <a:schemeClr val="lt1"/>
            </a:contourClr>
          </a:sp3d>
        </c:spPr>
      </c:pivotFmt>
      <c:pivotFmt>
        <c:idx val="31"/>
        <c:spPr>
          <a:solidFill>
            <a:schemeClr val="accent1"/>
          </a:solidFill>
          <a:ln w="25400">
            <a:solidFill>
              <a:schemeClr val="lt1"/>
            </a:solidFill>
          </a:ln>
          <a:effectLst/>
          <a:sp3d contourW="25400">
            <a:contourClr>
              <a:schemeClr val="lt1"/>
            </a:contourClr>
          </a:sp3d>
        </c:spPr>
      </c:pivotFmt>
      <c:pivotFmt>
        <c:idx val="32"/>
        <c:spPr>
          <a:solidFill>
            <a:schemeClr val="accent1"/>
          </a:solidFill>
          <a:ln w="25400">
            <a:solidFill>
              <a:schemeClr val="lt1"/>
            </a:solidFill>
          </a:ln>
          <a:effectLst/>
          <a:sp3d contourW="25400">
            <a:contourClr>
              <a:schemeClr val="lt1"/>
            </a:contourClr>
          </a:sp3d>
        </c:spPr>
      </c:pivotFmt>
      <c:pivotFmt>
        <c:idx val="33"/>
        <c:spPr>
          <a:solidFill>
            <a:schemeClr val="accent1"/>
          </a:solidFill>
          <a:ln w="25400">
            <a:solidFill>
              <a:schemeClr val="lt1"/>
            </a:solidFill>
          </a:ln>
          <a:effectLst/>
          <a:sp3d contourW="25400">
            <a:contourClr>
              <a:schemeClr val="lt1"/>
            </a:contourClr>
          </a:sp3d>
        </c:spPr>
      </c:pivotFmt>
      <c:pivotFmt>
        <c:idx val="34"/>
        <c:spPr>
          <a:solidFill>
            <a:schemeClr val="accent1"/>
          </a:solidFill>
          <a:ln w="25400">
            <a:solidFill>
              <a:schemeClr val="lt1"/>
            </a:solidFill>
          </a:ln>
          <a:effectLst/>
          <a:sp3d contourW="25400">
            <a:contourClr>
              <a:schemeClr val="lt1"/>
            </a:contourClr>
          </a:sp3d>
        </c:spPr>
      </c:pivotFmt>
      <c:pivotFmt>
        <c:idx val="35"/>
        <c:spPr>
          <a:solidFill>
            <a:schemeClr val="accent1"/>
          </a:solidFill>
          <a:ln w="25400">
            <a:solidFill>
              <a:schemeClr val="lt1"/>
            </a:solidFill>
          </a:ln>
          <a:effectLst/>
          <a:sp3d contourW="25400">
            <a:contourClr>
              <a:schemeClr val="lt1"/>
            </a:contourClr>
          </a:sp3d>
        </c:spPr>
      </c:pivotFmt>
      <c:pivotFmt>
        <c:idx val="36"/>
        <c:spPr>
          <a:solidFill>
            <a:schemeClr val="accent1"/>
          </a:solidFill>
          <a:ln w="25400">
            <a:solidFill>
              <a:schemeClr val="lt1"/>
            </a:solidFill>
          </a:ln>
          <a:effectLst/>
          <a:sp3d contourW="25400">
            <a:contourClr>
              <a:schemeClr val="lt1"/>
            </a:contourClr>
          </a:sp3d>
        </c:spPr>
      </c:pivotFmt>
      <c:pivotFmt>
        <c:idx val="37"/>
        <c:spPr>
          <a:solidFill>
            <a:schemeClr val="accent1"/>
          </a:solidFill>
          <a:ln w="25400">
            <a:solidFill>
              <a:schemeClr val="lt1"/>
            </a:solidFill>
          </a:ln>
          <a:effectLst/>
          <a:sp3d contourW="25400">
            <a:contourClr>
              <a:schemeClr val="lt1"/>
            </a:contourClr>
          </a:sp3d>
        </c:spPr>
      </c:pivotFmt>
      <c:pivotFmt>
        <c:idx val="38"/>
        <c:spPr>
          <a:solidFill>
            <a:schemeClr val="accent1"/>
          </a:solidFill>
          <a:ln w="25400">
            <a:solidFill>
              <a:schemeClr val="lt1"/>
            </a:solidFill>
          </a:ln>
          <a:effectLst/>
          <a:sp3d contourW="25400">
            <a:contourClr>
              <a:schemeClr val="lt1"/>
            </a:contourClr>
          </a:sp3d>
        </c:spPr>
      </c:pivotFmt>
      <c:pivotFmt>
        <c:idx val="39"/>
        <c:spPr>
          <a:solidFill>
            <a:schemeClr val="accent1"/>
          </a:solidFill>
          <a:ln w="25400">
            <a:solidFill>
              <a:schemeClr val="lt1"/>
            </a:solidFill>
          </a:ln>
          <a:effectLst/>
          <a:sp3d contourW="25400">
            <a:contourClr>
              <a:schemeClr val="lt1"/>
            </a:contourClr>
          </a:sp3d>
        </c:spPr>
      </c:pivotFmt>
      <c:pivotFmt>
        <c:idx val="40"/>
        <c:spPr>
          <a:solidFill>
            <a:schemeClr val="accent1"/>
          </a:solidFill>
          <a:ln w="25400">
            <a:solidFill>
              <a:schemeClr val="lt1"/>
            </a:solidFill>
          </a:ln>
          <a:effectLst/>
          <a:sp3d contourW="25400">
            <a:contourClr>
              <a:schemeClr val="lt1"/>
            </a:contourClr>
          </a:sp3d>
        </c:spPr>
      </c:pivotFmt>
      <c:pivotFmt>
        <c:idx val="41"/>
        <c:spPr>
          <a:solidFill>
            <a:schemeClr val="accent1"/>
          </a:solidFill>
          <a:ln w="25400">
            <a:solidFill>
              <a:schemeClr val="lt1"/>
            </a:solidFill>
          </a:ln>
          <a:effectLst/>
          <a:sp3d contourW="25400">
            <a:contourClr>
              <a:schemeClr val="lt1"/>
            </a:contourClr>
          </a:sp3d>
        </c:spPr>
      </c:pivotFmt>
      <c:pivotFmt>
        <c:idx val="42"/>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w="25400">
            <a:solidFill>
              <a:schemeClr val="lt1"/>
            </a:solidFill>
          </a:ln>
          <a:effectLst/>
          <a:sp3d contourW="25400">
            <a:contourClr>
              <a:schemeClr val="lt1"/>
            </a:contourClr>
          </a:sp3d>
        </c:spPr>
      </c:pivotFmt>
      <c:pivotFmt>
        <c:idx val="44"/>
        <c:spPr>
          <a:solidFill>
            <a:schemeClr val="accent1"/>
          </a:solidFill>
          <a:ln w="25400">
            <a:solidFill>
              <a:schemeClr val="lt1"/>
            </a:solidFill>
          </a:ln>
          <a:effectLst/>
          <a:sp3d contourW="25400">
            <a:contourClr>
              <a:schemeClr val="lt1"/>
            </a:contourClr>
          </a:sp3d>
        </c:spPr>
      </c:pivotFmt>
      <c:pivotFmt>
        <c:idx val="45"/>
        <c:spPr>
          <a:solidFill>
            <a:schemeClr val="accent1"/>
          </a:solidFill>
          <a:ln w="25400">
            <a:solidFill>
              <a:schemeClr val="lt1"/>
            </a:solidFill>
          </a:ln>
          <a:effectLst/>
          <a:sp3d contourW="25400">
            <a:contourClr>
              <a:schemeClr val="lt1"/>
            </a:contourClr>
          </a:sp3d>
        </c:spPr>
      </c:pivotFmt>
      <c:pivotFmt>
        <c:idx val="46"/>
        <c:spPr>
          <a:solidFill>
            <a:schemeClr val="accent1"/>
          </a:solidFill>
          <a:ln w="25400">
            <a:solidFill>
              <a:schemeClr val="lt1"/>
            </a:solidFill>
          </a:ln>
          <a:effectLst/>
          <a:sp3d contourW="25400">
            <a:contourClr>
              <a:schemeClr val="lt1"/>
            </a:contourClr>
          </a:sp3d>
        </c:spPr>
      </c:pivotFmt>
      <c:pivotFmt>
        <c:idx val="47"/>
        <c:spPr>
          <a:solidFill>
            <a:schemeClr val="accent1"/>
          </a:solidFill>
          <a:ln w="25400">
            <a:solidFill>
              <a:schemeClr val="lt1"/>
            </a:solidFill>
          </a:ln>
          <a:effectLst/>
          <a:sp3d contourW="25400">
            <a:contourClr>
              <a:schemeClr val="lt1"/>
            </a:contourClr>
          </a:sp3d>
        </c:spPr>
      </c:pivotFmt>
      <c:pivotFmt>
        <c:idx val="48"/>
        <c:spPr>
          <a:solidFill>
            <a:schemeClr val="accent1"/>
          </a:solidFill>
          <a:ln w="25400">
            <a:solidFill>
              <a:schemeClr val="lt1"/>
            </a:solidFill>
          </a:ln>
          <a:effectLst/>
          <a:sp3d contourW="25400">
            <a:contourClr>
              <a:schemeClr val="lt1"/>
            </a:contourClr>
          </a:sp3d>
        </c:spPr>
      </c:pivotFmt>
      <c:pivotFmt>
        <c:idx val="49"/>
        <c:spPr>
          <a:solidFill>
            <a:schemeClr val="accent1"/>
          </a:solidFill>
          <a:ln w="25400">
            <a:solidFill>
              <a:schemeClr val="lt1"/>
            </a:solidFill>
          </a:ln>
          <a:effectLst/>
          <a:sp3d contourW="25400">
            <a:contourClr>
              <a:schemeClr val="lt1"/>
            </a:contourClr>
          </a:sp3d>
        </c:spPr>
      </c:pivotFmt>
      <c:pivotFmt>
        <c:idx val="50"/>
        <c:spPr>
          <a:solidFill>
            <a:schemeClr val="accent1"/>
          </a:solidFill>
          <a:ln w="25400">
            <a:solidFill>
              <a:schemeClr val="lt1"/>
            </a:solidFill>
          </a:ln>
          <a:effectLst/>
          <a:sp3d contourW="25400">
            <a:contourClr>
              <a:schemeClr val="lt1"/>
            </a:contourClr>
          </a:sp3d>
        </c:spPr>
      </c:pivotFmt>
      <c:pivotFmt>
        <c:idx val="51"/>
        <c:spPr>
          <a:solidFill>
            <a:schemeClr val="accent1"/>
          </a:solidFill>
          <a:ln w="25400">
            <a:solidFill>
              <a:schemeClr val="lt1"/>
            </a:solidFill>
          </a:ln>
          <a:effectLst/>
          <a:sp3d contourW="25400">
            <a:contourClr>
              <a:schemeClr val="lt1"/>
            </a:contourClr>
          </a:sp3d>
        </c:spPr>
      </c:pivotFmt>
      <c:pivotFmt>
        <c:idx val="52"/>
        <c:spPr>
          <a:solidFill>
            <a:schemeClr val="accent1"/>
          </a:solidFill>
          <a:ln w="25400">
            <a:solidFill>
              <a:schemeClr val="lt1"/>
            </a:solidFill>
          </a:ln>
          <a:effectLst/>
          <a:sp3d contourW="25400">
            <a:contourClr>
              <a:schemeClr val="lt1"/>
            </a:contourClr>
          </a:sp3d>
        </c:spPr>
      </c:pivotFmt>
      <c:pivotFmt>
        <c:idx val="53"/>
        <c:spPr>
          <a:solidFill>
            <a:schemeClr val="accent1"/>
          </a:solidFill>
          <a:ln w="25400">
            <a:solidFill>
              <a:schemeClr val="lt1"/>
            </a:solidFill>
          </a:ln>
          <a:effectLst/>
          <a:sp3d contourW="25400">
            <a:contourClr>
              <a:schemeClr val="lt1"/>
            </a:contourClr>
          </a:sp3d>
        </c:spPr>
      </c:pivotFmt>
      <c:pivotFmt>
        <c:idx val="54"/>
        <c:spPr>
          <a:solidFill>
            <a:schemeClr val="accent1"/>
          </a:solidFill>
          <a:ln w="25400">
            <a:solidFill>
              <a:schemeClr val="lt1"/>
            </a:solidFill>
          </a:ln>
          <a:effectLst/>
          <a:sp3d contourW="25400">
            <a:contourClr>
              <a:schemeClr val="lt1"/>
            </a:contourClr>
          </a:sp3d>
        </c:spPr>
      </c:pivotFmt>
      <c:pivotFmt>
        <c:idx val="55"/>
        <c:spPr>
          <a:solidFill>
            <a:schemeClr val="accent1"/>
          </a:solidFill>
          <a:ln w="25400">
            <a:solidFill>
              <a:schemeClr val="lt1"/>
            </a:solidFill>
          </a:ln>
          <a:effectLst/>
          <a:sp3d contourW="25400">
            <a:contourClr>
              <a:schemeClr val="lt1"/>
            </a:contourClr>
          </a:sp3d>
        </c:spPr>
      </c:pivotFmt>
      <c:pivotFmt>
        <c:idx val="56"/>
        <c:spPr>
          <a:solidFill>
            <a:schemeClr val="accent1"/>
          </a:solidFill>
          <a:ln w="25400">
            <a:solidFill>
              <a:schemeClr val="lt1"/>
            </a:solidFill>
          </a:ln>
          <a:effectLst/>
          <a:sp3d contourW="25400">
            <a:contourClr>
              <a:schemeClr val="lt1"/>
            </a:contourClr>
          </a:sp3d>
        </c:spPr>
      </c:pivotFmt>
      <c:pivotFmt>
        <c:idx val="57"/>
        <c:spPr>
          <a:solidFill>
            <a:schemeClr val="accent1"/>
          </a:solidFill>
          <a:ln w="25400">
            <a:solidFill>
              <a:schemeClr val="lt1"/>
            </a:solidFill>
          </a:ln>
          <a:effectLst/>
          <a:sp3d contourW="25400">
            <a:contourClr>
              <a:schemeClr val="lt1"/>
            </a:contourClr>
          </a:sp3d>
        </c:spPr>
      </c:pivotFmt>
      <c:pivotFmt>
        <c:idx val="58"/>
        <c:spPr>
          <a:solidFill>
            <a:schemeClr val="accent1"/>
          </a:solidFill>
          <a:ln w="25400">
            <a:solidFill>
              <a:schemeClr val="lt1"/>
            </a:solidFill>
          </a:ln>
          <a:effectLst/>
          <a:sp3d contourW="25400">
            <a:contourClr>
              <a:schemeClr val="lt1"/>
            </a:contourClr>
          </a:sp3d>
        </c:spPr>
      </c:pivotFmt>
      <c:pivotFmt>
        <c:idx val="59"/>
        <c:spPr>
          <a:solidFill>
            <a:schemeClr val="accent1"/>
          </a:solidFill>
          <a:ln w="25400">
            <a:solidFill>
              <a:schemeClr val="lt1"/>
            </a:solidFill>
          </a:ln>
          <a:effectLst/>
          <a:sp3d contourW="25400">
            <a:contourClr>
              <a:schemeClr val="lt1"/>
            </a:contourClr>
          </a:sp3d>
        </c:spPr>
      </c:pivotFmt>
      <c:pivotFmt>
        <c:idx val="60"/>
        <c:spPr>
          <a:solidFill>
            <a:schemeClr val="accent1"/>
          </a:solidFill>
          <a:ln w="25400">
            <a:solidFill>
              <a:schemeClr val="lt1"/>
            </a:solidFill>
          </a:ln>
          <a:effectLst/>
          <a:sp3d contourW="25400">
            <a:contourClr>
              <a:schemeClr val="lt1"/>
            </a:contourClr>
          </a:sp3d>
        </c:spPr>
      </c:pivotFmt>
      <c:pivotFmt>
        <c:idx val="61"/>
        <c:spPr>
          <a:solidFill>
            <a:schemeClr val="accent1"/>
          </a:solidFill>
          <a:ln w="25400">
            <a:solidFill>
              <a:schemeClr val="lt1"/>
            </a:solidFill>
          </a:ln>
          <a:effectLst/>
          <a:sp3d contourW="25400">
            <a:contourClr>
              <a:schemeClr val="lt1"/>
            </a:contourClr>
          </a:sp3d>
        </c:spPr>
      </c:pivotFmt>
      <c:pivotFmt>
        <c:idx val="62"/>
        <c:spPr>
          <a:solidFill>
            <a:schemeClr val="accent1"/>
          </a:solidFill>
          <a:ln w="25400">
            <a:solidFill>
              <a:schemeClr val="lt1"/>
            </a:solidFill>
          </a:ln>
          <a:effectLst/>
          <a:sp3d contourW="25400">
            <a:contourClr>
              <a:schemeClr val="lt1"/>
            </a:contourClr>
          </a:sp3d>
        </c:spPr>
      </c:pivotFmt>
      <c:pivotFmt>
        <c:idx val="63"/>
        <c:spPr>
          <a:solidFill>
            <a:schemeClr val="accent1"/>
          </a:solidFill>
          <a:ln w="25400">
            <a:solidFill>
              <a:schemeClr val="lt1"/>
            </a:solidFill>
          </a:ln>
          <a:effectLst/>
          <a:sp3d contourW="25400">
            <a:contourClr>
              <a:schemeClr val="lt1"/>
            </a:contourClr>
          </a:sp3d>
        </c:spPr>
      </c:pivotFmt>
      <c:pivotFmt>
        <c:idx val="64"/>
        <c:spPr>
          <a:solidFill>
            <a:schemeClr val="accent1"/>
          </a:solidFill>
          <a:ln w="25400">
            <a:solidFill>
              <a:schemeClr val="lt1"/>
            </a:solidFill>
          </a:ln>
          <a:effectLst/>
          <a:sp3d contourW="25400">
            <a:contourClr>
              <a:schemeClr val="lt1"/>
            </a:contourClr>
          </a:sp3d>
        </c:spPr>
      </c:pivotFmt>
      <c:pivotFmt>
        <c:idx val="65"/>
        <c:spPr>
          <a:solidFill>
            <a:schemeClr val="accent1"/>
          </a:solidFill>
          <a:ln w="25400">
            <a:solidFill>
              <a:schemeClr val="lt1"/>
            </a:solidFill>
          </a:ln>
          <a:effectLst/>
          <a:sp3d contourW="25400">
            <a:contourClr>
              <a:schemeClr val="lt1"/>
            </a:contourClr>
          </a:sp3d>
        </c:spPr>
      </c:pivotFmt>
      <c:pivotFmt>
        <c:idx val="66"/>
        <c:spPr>
          <a:solidFill>
            <a:schemeClr val="accent1"/>
          </a:solidFill>
          <a:ln w="25400">
            <a:solidFill>
              <a:schemeClr val="lt1"/>
            </a:solidFill>
          </a:ln>
          <a:effectLst/>
          <a:sp3d contourW="25400">
            <a:contourClr>
              <a:schemeClr val="lt1"/>
            </a:contourClr>
          </a:sp3d>
        </c:spPr>
      </c:pivotFmt>
      <c:pivotFmt>
        <c:idx val="67"/>
        <c:spPr>
          <a:solidFill>
            <a:schemeClr val="accent1"/>
          </a:solidFill>
          <a:ln w="25400">
            <a:solidFill>
              <a:schemeClr val="lt1"/>
            </a:solidFill>
          </a:ln>
          <a:effectLst/>
          <a:sp3d contourW="25400">
            <a:contourClr>
              <a:schemeClr val="lt1"/>
            </a:contourClr>
          </a:sp3d>
        </c:spPr>
      </c:pivotFmt>
      <c:pivotFmt>
        <c:idx val="68"/>
        <c:spPr>
          <a:solidFill>
            <a:schemeClr val="accent1"/>
          </a:solidFill>
          <a:ln w="25400">
            <a:solidFill>
              <a:schemeClr val="lt1"/>
            </a:solidFill>
          </a:ln>
          <a:effectLst/>
          <a:sp3d contourW="25400">
            <a:contourClr>
              <a:schemeClr val="lt1"/>
            </a:contourClr>
          </a:sp3d>
        </c:spPr>
      </c:pivotFmt>
      <c:pivotFmt>
        <c:idx val="69"/>
        <c:spPr>
          <a:solidFill>
            <a:schemeClr val="accent1"/>
          </a:solidFill>
          <a:ln w="25400">
            <a:solidFill>
              <a:schemeClr val="lt1"/>
            </a:solidFill>
          </a:ln>
          <a:effectLst/>
          <a:sp3d contourW="25400">
            <a:contourClr>
              <a:schemeClr val="lt1"/>
            </a:contourClr>
          </a:sp3d>
        </c:spPr>
      </c:pivotFmt>
      <c:pivotFmt>
        <c:idx val="70"/>
        <c:spPr>
          <a:solidFill>
            <a:schemeClr val="accent1"/>
          </a:solidFill>
          <a:ln w="25400">
            <a:solidFill>
              <a:schemeClr val="lt1"/>
            </a:solidFill>
          </a:ln>
          <a:effectLst/>
          <a:sp3d contourW="25400">
            <a:contourClr>
              <a:schemeClr val="lt1"/>
            </a:contourClr>
          </a:sp3d>
        </c:spPr>
      </c:pivotFmt>
      <c:pivotFmt>
        <c:idx val="71"/>
        <c:spPr>
          <a:solidFill>
            <a:schemeClr val="accent1"/>
          </a:solidFill>
          <a:ln w="25400">
            <a:solidFill>
              <a:schemeClr val="lt1"/>
            </a:solidFill>
          </a:ln>
          <a:effectLst/>
          <a:sp3d contourW="25400">
            <a:contourClr>
              <a:schemeClr val="lt1"/>
            </a:contourClr>
          </a:sp3d>
        </c:spPr>
      </c:pivotFmt>
      <c:pivotFmt>
        <c:idx val="72"/>
        <c:spPr>
          <a:solidFill>
            <a:schemeClr val="accent1"/>
          </a:solidFill>
          <a:ln w="25400">
            <a:solidFill>
              <a:schemeClr val="lt1"/>
            </a:solidFill>
          </a:ln>
          <a:effectLst/>
          <a:sp3d contourW="25400">
            <a:contourClr>
              <a:schemeClr val="lt1"/>
            </a:contourClr>
          </a:sp3d>
        </c:spPr>
      </c:pivotFmt>
      <c:pivotFmt>
        <c:idx val="73"/>
        <c:spPr>
          <a:solidFill>
            <a:schemeClr val="accent1"/>
          </a:solidFill>
          <a:ln w="25400">
            <a:solidFill>
              <a:schemeClr val="lt1"/>
            </a:solidFill>
          </a:ln>
          <a:effectLst/>
          <a:sp3d contourW="25400">
            <a:contourClr>
              <a:schemeClr val="lt1"/>
            </a:contourClr>
          </a:sp3d>
        </c:spPr>
      </c:pivotFmt>
      <c:pivotFmt>
        <c:idx val="74"/>
        <c:spPr>
          <a:solidFill>
            <a:schemeClr val="accent1"/>
          </a:solidFill>
          <a:ln w="25400">
            <a:solidFill>
              <a:schemeClr val="lt1"/>
            </a:solidFill>
          </a:ln>
          <a:effectLst/>
          <a:sp3d contourW="25400">
            <a:contourClr>
              <a:schemeClr val="lt1"/>
            </a:contourClr>
          </a:sp3d>
        </c:spPr>
      </c:pivotFmt>
      <c:pivotFmt>
        <c:idx val="75"/>
        <c:spPr>
          <a:solidFill>
            <a:schemeClr val="accent1"/>
          </a:solidFill>
          <a:ln w="25400">
            <a:solidFill>
              <a:schemeClr val="lt1"/>
            </a:solidFill>
          </a:ln>
          <a:effectLst/>
          <a:sp3d contourW="25400">
            <a:contourClr>
              <a:schemeClr val="lt1"/>
            </a:contourClr>
          </a:sp3d>
        </c:spPr>
      </c:pivotFmt>
      <c:pivotFmt>
        <c:idx val="76"/>
        <c:spPr>
          <a:solidFill>
            <a:schemeClr val="accent1"/>
          </a:solidFill>
          <a:ln w="25400">
            <a:solidFill>
              <a:schemeClr val="lt1"/>
            </a:solidFill>
          </a:ln>
          <a:effectLst/>
          <a:sp3d contourW="25400">
            <a:contourClr>
              <a:schemeClr val="lt1"/>
            </a:contourClr>
          </a:sp3d>
        </c:spPr>
      </c:pivotFmt>
      <c:pivotFmt>
        <c:idx val="77"/>
        <c:spPr>
          <a:solidFill>
            <a:schemeClr val="accent1"/>
          </a:solidFill>
          <a:ln w="25400">
            <a:solidFill>
              <a:schemeClr val="lt1"/>
            </a:solidFill>
          </a:ln>
          <a:effectLst/>
          <a:sp3d contourW="25400">
            <a:contourClr>
              <a:schemeClr val="lt1"/>
            </a:contourClr>
          </a:sp3d>
        </c:spPr>
      </c:pivotFmt>
      <c:pivotFmt>
        <c:idx val="78"/>
        <c:spPr>
          <a:solidFill>
            <a:schemeClr val="accent1"/>
          </a:solidFill>
          <a:ln w="25400">
            <a:solidFill>
              <a:schemeClr val="lt1"/>
            </a:solidFill>
          </a:ln>
          <a:effectLst/>
          <a:sp3d contourW="25400">
            <a:contourClr>
              <a:schemeClr val="lt1"/>
            </a:contourClr>
          </a:sp3d>
        </c:spPr>
      </c:pivotFmt>
      <c:pivotFmt>
        <c:idx val="79"/>
        <c:spPr>
          <a:solidFill>
            <a:schemeClr val="accent1"/>
          </a:solidFill>
          <a:ln w="25400">
            <a:solidFill>
              <a:schemeClr val="lt1"/>
            </a:solidFill>
          </a:ln>
          <a:effectLst/>
          <a:sp3d contourW="25400">
            <a:contourClr>
              <a:schemeClr val="lt1"/>
            </a:contourClr>
          </a:sp3d>
        </c:spPr>
      </c:pivotFmt>
      <c:pivotFmt>
        <c:idx val="80"/>
        <c:spPr>
          <a:solidFill>
            <a:schemeClr val="accent1"/>
          </a:solidFill>
          <a:ln w="25400">
            <a:solidFill>
              <a:schemeClr val="lt1"/>
            </a:solidFill>
          </a:ln>
          <a:effectLst/>
          <a:sp3d contourW="25400">
            <a:contourClr>
              <a:schemeClr val="lt1"/>
            </a:contourClr>
          </a:sp3d>
        </c:spPr>
      </c:pivotFmt>
      <c:pivotFmt>
        <c:idx val="81"/>
        <c:spPr>
          <a:solidFill>
            <a:schemeClr val="accent1"/>
          </a:solidFill>
          <a:ln w="25400">
            <a:solidFill>
              <a:schemeClr val="lt1"/>
            </a:solidFill>
          </a:ln>
          <a:effectLst/>
          <a:sp3d contourW="25400">
            <a:contourClr>
              <a:schemeClr val="lt1"/>
            </a:contourClr>
          </a:sp3d>
        </c:spPr>
      </c:pivotFmt>
      <c:pivotFmt>
        <c:idx val="82"/>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3"/>
        <c:spPr>
          <a:solidFill>
            <a:schemeClr val="accent1"/>
          </a:solidFill>
          <a:ln w="25400">
            <a:solidFill>
              <a:schemeClr val="lt1"/>
            </a:solidFill>
          </a:ln>
          <a:effectLst/>
          <a:sp3d contourW="25400">
            <a:contourClr>
              <a:schemeClr val="lt1"/>
            </a:contourClr>
          </a:sp3d>
        </c:spPr>
      </c:pivotFmt>
      <c:pivotFmt>
        <c:idx val="84"/>
        <c:spPr>
          <a:solidFill>
            <a:schemeClr val="accent1"/>
          </a:solidFill>
          <a:ln w="25400">
            <a:solidFill>
              <a:schemeClr val="lt1"/>
            </a:solidFill>
          </a:ln>
          <a:effectLst/>
          <a:sp3d contourW="25400">
            <a:contourClr>
              <a:schemeClr val="lt1"/>
            </a:contourClr>
          </a:sp3d>
        </c:spPr>
      </c:pivotFmt>
      <c:pivotFmt>
        <c:idx val="85"/>
        <c:spPr>
          <a:solidFill>
            <a:schemeClr val="accent1"/>
          </a:solidFill>
          <a:ln w="25400">
            <a:solidFill>
              <a:schemeClr val="lt1"/>
            </a:solidFill>
          </a:ln>
          <a:effectLst/>
          <a:sp3d contourW="25400">
            <a:contourClr>
              <a:schemeClr val="lt1"/>
            </a:contourClr>
          </a:sp3d>
        </c:spPr>
      </c:pivotFmt>
      <c:pivotFmt>
        <c:idx val="86"/>
        <c:spPr>
          <a:solidFill>
            <a:schemeClr val="accent1"/>
          </a:solidFill>
          <a:ln w="25400">
            <a:solidFill>
              <a:schemeClr val="lt1"/>
            </a:solidFill>
          </a:ln>
          <a:effectLst/>
          <a:sp3d contourW="25400">
            <a:contourClr>
              <a:schemeClr val="lt1"/>
            </a:contourClr>
          </a:sp3d>
        </c:spPr>
      </c:pivotFmt>
      <c:pivotFmt>
        <c:idx val="87"/>
        <c:spPr>
          <a:solidFill>
            <a:schemeClr val="accent1"/>
          </a:solidFill>
          <a:ln w="25400">
            <a:solidFill>
              <a:schemeClr val="lt1"/>
            </a:solidFill>
          </a:ln>
          <a:effectLst/>
          <a:sp3d contourW="25400">
            <a:contourClr>
              <a:schemeClr val="lt1"/>
            </a:contourClr>
          </a:sp3d>
        </c:spPr>
      </c:pivotFmt>
      <c:pivotFmt>
        <c:idx val="88"/>
        <c:spPr>
          <a:solidFill>
            <a:schemeClr val="accent1"/>
          </a:solidFill>
          <a:ln w="25400">
            <a:solidFill>
              <a:schemeClr val="lt1"/>
            </a:solidFill>
          </a:ln>
          <a:effectLst/>
          <a:sp3d contourW="25400">
            <a:contourClr>
              <a:schemeClr val="lt1"/>
            </a:contourClr>
          </a:sp3d>
        </c:spPr>
      </c:pivotFmt>
      <c:pivotFmt>
        <c:idx val="89"/>
        <c:spPr>
          <a:solidFill>
            <a:schemeClr val="accent1"/>
          </a:solidFill>
          <a:ln w="25400">
            <a:solidFill>
              <a:schemeClr val="lt1"/>
            </a:solidFill>
          </a:ln>
          <a:effectLst/>
          <a:sp3d contourW="25400">
            <a:contourClr>
              <a:schemeClr val="lt1"/>
            </a:contourClr>
          </a:sp3d>
        </c:spPr>
      </c:pivotFmt>
      <c:pivotFmt>
        <c:idx val="90"/>
        <c:spPr>
          <a:solidFill>
            <a:schemeClr val="accent1"/>
          </a:solidFill>
          <a:ln w="25400">
            <a:solidFill>
              <a:schemeClr val="lt1"/>
            </a:solidFill>
          </a:ln>
          <a:effectLst/>
          <a:sp3d contourW="25400">
            <a:contourClr>
              <a:schemeClr val="lt1"/>
            </a:contourClr>
          </a:sp3d>
        </c:spPr>
      </c:pivotFmt>
      <c:pivotFmt>
        <c:idx val="91"/>
        <c:spPr>
          <a:solidFill>
            <a:schemeClr val="accent1"/>
          </a:solidFill>
          <a:ln w="25400">
            <a:solidFill>
              <a:schemeClr val="lt1"/>
            </a:solidFill>
          </a:ln>
          <a:effectLst/>
          <a:sp3d contourW="25400">
            <a:contourClr>
              <a:schemeClr val="lt1"/>
            </a:contourClr>
          </a:sp3d>
        </c:spPr>
      </c:pivotFmt>
      <c:pivotFmt>
        <c:idx val="92"/>
        <c:spPr>
          <a:solidFill>
            <a:schemeClr val="accent1"/>
          </a:solidFill>
          <a:ln w="25400">
            <a:solidFill>
              <a:schemeClr val="lt1"/>
            </a:solidFill>
          </a:ln>
          <a:effectLst/>
          <a:sp3d contourW="25400">
            <a:contourClr>
              <a:schemeClr val="lt1"/>
            </a:contourClr>
          </a:sp3d>
        </c:spPr>
      </c:pivotFmt>
      <c:pivotFmt>
        <c:idx val="93"/>
        <c:spPr>
          <a:solidFill>
            <a:schemeClr val="accent1"/>
          </a:solidFill>
          <a:ln w="25400">
            <a:solidFill>
              <a:schemeClr val="lt1"/>
            </a:solidFill>
          </a:ln>
          <a:effectLst/>
          <a:sp3d contourW="25400">
            <a:contourClr>
              <a:schemeClr val="lt1"/>
            </a:contourClr>
          </a:sp3d>
        </c:spPr>
      </c:pivotFmt>
      <c:pivotFmt>
        <c:idx val="94"/>
        <c:spPr>
          <a:solidFill>
            <a:schemeClr val="accent1"/>
          </a:solidFill>
          <a:ln w="25400">
            <a:solidFill>
              <a:schemeClr val="lt1"/>
            </a:solidFill>
          </a:ln>
          <a:effectLst/>
          <a:sp3d contourW="25400">
            <a:contourClr>
              <a:schemeClr val="lt1"/>
            </a:contourClr>
          </a:sp3d>
        </c:spPr>
      </c:pivotFmt>
      <c:pivotFmt>
        <c:idx val="95"/>
        <c:spPr>
          <a:solidFill>
            <a:schemeClr val="accent1"/>
          </a:solidFill>
          <a:ln w="25400">
            <a:solidFill>
              <a:schemeClr val="lt1"/>
            </a:solidFill>
          </a:ln>
          <a:effectLst/>
          <a:sp3d contourW="25400">
            <a:contourClr>
              <a:schemeClr val="lt1"/>
            </a:contourClr>
          </a:sp3d>
        </c:spPr>
      </c:pivotFmt>
      <c:pivotFmt>
        <c:idx val="96"/>
        <c:spPr>
          <a:solidFill>
            <a:schemeClr val="accent1"/>
          </a:solidFill>
          <a:ln w="25400">
            <a:solidFill>
              <a:schemeClr val="lt1"/>
            </a:solidFill>
          </a:ln>
          <a:effectLst/>
          <a:sp3d contourW="25400">
            <a:contourClr>
              <a:schemeClr val="lt1"/>
            </a:contourClr>
          </a:sp3d>
        </c:spPr>
      </c:pivotFmt>
      <c:pivotFmt>
        <c:idx val="97"/>
        <c:spPr>
          <a:solidFill>
            <a:schemeClr val="accent1"/>
          </a:solidFill>
          <a:ln w="25400">
            <a:solidFill>
              <a:schemeClr val="lt1"/>
            </a:solidFill>
          </a:ln>
          <a:effectLst/>
          <a:sp3d contourW="25400">
            <a:contourClr>
              <a:schemeClr val="lt1"/>
            </a:contourClr>
          </a:sp3d>
        </c:spPr>
      </c:pivotFmt>
      <c:pivotFmt>
        <c:idx val="98"/>
        <c:spPr>
          <a:solidFill>
            <a:schemeClr val="accent1"/>
          </a:solidFill>
          <a:ln w="25400">
            <a:solidFill>
              <a:schemeClr val="lt1"/>
            </a:solidFill>
          </a:ln>
          <a:effectLst/>
          <a:sp3d contourW="25400">
            <a:contourClr>
              <a:schemeClr val="lt1"/>
            </a:contourClr>
          </a:sp3d>
        </c:spPr>
      </c:pivotFmt>
      <c:pivotFmt>
        <c:idx val="99"/>
        <c:spPr>
          <a:solidFill>
            <a:schemeClr val="accent1"/>
          </a:solidFill>
          <a:ln w="25400">
            <a:solidFill>
              <a:schemeClr val="lt1"/>
            </a:solidFill>
          </a:ln>
          <a:effectLst/>
          <a:sp3d contourW="25400">
            <a:contourClr>
              <a:schemeClr val="lt1"/>
            </a:contourClr>
          </a:sp3d>
        </c:spPr>
      </c:pivotFmt>
      <c:pivotFmt>
        <c:idx val="100"/>
        <c:spPr>
          <a:solidFill>
            <a:schemeClr val="accent1"/>
          </a:solidFill>
          <a:ln w="25400">
            <a:solidFill>
              <a:schemeClr val="lt1"/>
            </a:solidFill>
          </a:ln>
          <a:effectLst/>
          <a:sp3d contourW="25400">
            <a:contourClr>
              <a:schemeClr val="lt1"/>
            </a:contourClr>
          </a:sp3d>
        </c:spPr>
      </c:pivotFmt>
      <c:pivotFmt>
        <c:idx val="101"/>
        <c:spPr>
          <a:solidFill>
            <a:schemeClr val="accent1"/>
          </a:solidFill>
          <a:ln w="25400">
            <a:solidFill>
              <a:schemeClr val="lt1"/>
            </a:solidFill>
          </a:ln>
          <a:effectLst/>
          <a:sp3d contourW="25400">
            <a:contourClr>
              <a:schemeClr val="lt1"/>
            </a:contourClr>
          </a:sp3d>
        </c:spPr>
      </c:pivotFmt>
      <c:pivotFmt>
        <c:idx val="102"/>
        <c:spPr>
          <a:solidFill>
            <a:schemeClr val="accent1"/>
          </a:solidFill>
          <a:ln w="25400">
            <a:solidFill>
              <a:schemeClr val="lt1"/>
            </a:solidFill>
          </a:ln>
          <a:effectLst/>
          <a:sp3d contourW="25400">
            <a:contourClr>
              <a:schemeClr val="lt1"/>
            </a:contourClr>
          </a:sp3d>
        </c:spPr>
      </c:pivotFmt>
      <c:pivotFmt>
        <c:idx val="103"/>
        <c:spPr>
          <a:solidFill>
            <a:schemeClr val="accent1"/>
          </a:solidFill>
          <a:ln w="25400">
            <a:solidFill>
              <a:schemeClr val="lt1"/>
            </a:solidFill>
          </a:ln>
          <a:effectLst/>
          <a:sp3d contourW="25400">
            <a:contourClr>
              <a:schemeClr val="lt1"/>
            </a:contourClr>
          </a:sp3d>
        </c:spPr>
      </c:pivotFmt>
      <c:pivotFmt>
        <c:idx val="104"/>
        <c:spPr>
          <a:solidFill>
            <a:schemeClr val="accent1"/>
          </a:solidFill>
          <a:ln w="25400">
            <a:solidFill>
              <a:schemeClr val="lt1"/>
            </a:solidFill>
          </a:ln>
          <a:effectLst/>
          <a:sp3d contourW="25400">
            <a:contourClr>
              <a:schemeClr val="lt1"/>
            </a:contourClr>
          </a:sp3d>
        </c:spPr>
      </c:pivotFmt>
      <c:pivotFmt>
        <c:idx val="105"/>
        <c:spPr>
          <a:solidFill>
            <a:schemeClr val="accent1"/>
          </a:solidFill>
          <a:ln w="25400">
            <a:solidFill>
              <a:schemeClr val="lt1"/>
            </a:solidFill>
          </a:ln>
          <a:effectLst/>
          <a:sp3d contourW="25400">
            <a:contourClr>
              <a:schemeClr val="lt1"/>
            </a:contourClr>
          </a:sp3d>
        </c:spPr>
      </c:pivotFmt>
      <c:pivotFmt>
        <c:idx val="106"/>
        <c:spPr>
          <a:solidFill>
            <a:schemeClr val="accent1"/>
          </a:solidFill>
          <a:ln w="25400">
            <a:solidFill>
              <a:schemeClr val="lt1"/>
            </a:solidFill>
          </a:ln>
          <a:effectLst/>
          <a:sp3d contourW="25400">
            <a:contourClr>
              <a:schemeClr val="lt1"/>
            </a:contourClr>
          </a:sp3d>
        </c:spPr>
      </c:pivotFmt>
      <c:pivotFmt>
        <c:idx val="107"/>
        <c:spPr>
          <a:solidFill>
            <a:schemeClr val="accent1"/>
          </a:solidFill>
          <a:ln w="25400">
            <a:solidFill>
              <a:schemeClr val="lt1"/>
            </a:solidFill>
          </a:ln>
          <a:effectLst/>
          <a:sp3d contourW="25400">
            <a:contourClr>
              <a:schemeClr val="lt1"/>
            </a:contourClr>
          </a:sp3d>
        </c:spPr>
      </c:pivotFmt>
      <c:pivotFmt>
        <c:idx val="108"/>
        <c:spPr>
          <a:solidFill>
            <a:schemeClr val="accent1"/>
          </a:solidFill>
          <a:ln w="25400">
            <a:solidFill>
              <a:schemeClr val="lt1"/>
            </a:solidFill>
          </a:ln>
          <a:effectLst/>
          <a:sp3d contourW="25400">
            <a:contourClr>
              <a:schemeClr val="lt1"/>
            </a:contourClr>
          </a:sp3d>
        </c:spPr>
      </c:pivotFmt>
      <c:pivotFmt>
        <c:idx val="109"/>
        <c:spPr>
          <a:solidFill>
            <a:schemeClr val="accent1"/>
          </a:solidFill>
          <a:ln w="25400">
            <a:solidFill>
              <a:schemeClr val="lt1"/>
            </a:solidFill>
          </a:ln>
          <a:effectLst/>
          <a:sp3d contourW="25400">
            <a:contourClr>
              <a:schemeClr val="lt1"/>
            </a:contourClr>
          </a:sp3d>
        </c:spPr>
      </c:pivotFmt>
      <c:pivotFmt>
        <c:idx val="110"/>
        <c:spPr>
          <a:solidFill>
            <a:schemeClr val="accent1"/>
          </a:solidFill>
          <a:ln w="25400">
            <a:solidFill>
              <a:schemeClr val="lt1"/>
            </a:solidFill>
          </a:ln>
          <a:effectLst/>
          <a:sp3d contourW="25400">
            <a:contourClr>
              <a:schemeClr val="lt1"/>
            </a:contourClr>
          </a:sp3d>
        </c:spPr>
      </c:pivotFmt>
      <c:pivotFmt>
        <c:idx val="111"/>
        <c:spPr>
          <a:solidFill>
            <a:schemeClr val="accent1"/>
          </a:solidFill>
          <a:ln w="25400">
            <a:solidFill>
              <a:schemeClr val="lt1"/>
            </a:solidFill>
          </a:ln>
          <a:effectLst/>
          <a:sp3d contourW="25400">
            <a:contourClr>
              <a:schemeClr val="lt1"/>
            </a:contourClr>
          </a:sp3d>
        </c:spPr>
      </c:pivotFmt>
      <c:pivotFmt>
        <c:idx val="112"/>
        <c:spPr>
          <a:solidFill>
            <a:schemeClr val="accent1"/>
          </a:solidFill>
          <a:ln w="25400">
            <a:solidFill>
              <a:schemeClr val="lt1"/>
            </a:solidFill>
          </a:ln>
          <a:effectLst/>
          <a:sp3d contourW="25400">
            <a:contourClr>
              <a:schemeClr val="lt1"/>
            </a:contourClr>
          </a:sp3d>
        </c:spPr>
      </c:pivotFmt>
      <c:pivotFmt>
        <c:idx val="113"/>
        <c:spPr>
          <a:solidFill>
            <a:schemeClr val="accent1"/>
          </a:solidFill>
          <a:ln w="25400">
            <a:solidFill>
              <a:schemeClr val="lt1"/>
            </a:solidFill>
          </a:ln>
          <a:effectLst/>
          <a:sp3d contourW="25400">
            <a:contourClr>
              <a:schemeClr val="lt1"/>
            </a:contourClr>
          </a:sp3d>
        </c:spPr>
      </c:pivotFmt>
      <c:pivotFmt>
        <c:idx val="114"/>
        <c:spPr>
          <a:solidFill>
            <a:schemeClr val="accent1"/>
          </a:solidFill>
          <a:ln w="25400">
            <a:solidFill>
              <a:schemeClr val="lt1"/>
            </a:solidFill>
          </a:ln>
          <a:effectLst/>
          <a:sp3d contourW="25400">
            <a:contourClr>
              <a:schemeClr val="lt1"/>
            </a:contourClr>
          </a:sp3d>
        </c:spPr>
      </c:pivotFmt>
      <c:pivotFmt>
        <c:idx val="115"/>
        <c:spPr>
          <a:solidFill>
            <a:schemeClr val="accent1"/>
          </a:solidFill>
          <a:ln w="25400">
            <a:solidFill>
              <a:schemeClr val="lt1"/>
            </a:solidFill>
          </a:ln>
          <a:effectLst/>
          <a:sp3d contourW="25400">
            <a:contourClr>
              <a:schemeClr val="lt1"/>
            </a:contourClr>
          </a:sp3d>
        </c:spPr>
      </c:pivotFmt>
      <c:pivotFmt>
        <c:idx val="116"/>
        <c:spPr>
          <a:solidFill>
            <a:schemeClr val="accent1"/>
          </a:solidFill>
          <a:ln w="25400">
            <a:solidFill>
              <a:schemeClr val="lt1"/>
            </a:solidFill>
          </a:ln>
          <a:effectLst/>
          <a:sp3d contourW="25400">
            <a:contourClr>
              <a:schemeClr val="lt1"/>
            </a:contourClr>
          </a:sp3d>
        </c:spPr>
      </c:pivotFmt>
      <c:pivotFmt>
        <c:idx val="117"/>
        <c:spPr>
          <a:solidFill>
            <a:schemeClr val="accent1"/>
          </a:solidFill>
          <a:ln w="25400">
            <a:solidFill>
              <a:schemeClr val="lt1"/>
            </a:solidFill>
          </a:ln>
          <a:effectLst/>
          <a:sp3d contourW="25400">
            <a:contourClr>
              <a:schemeClr val="lt1"/>
            </a:contourClr>
          </a:sp3d>
        </c:spPr>
      </c:pivotFmt>
      <c:pivotFmt>
        <c:idx val="118"/>
        <c:spPr>
          <a:solidFill>
            <a:schemeClr val="accent1"/>
          </a:solidFill>
          <a:ln w="25400">
            <a:solidFill>
              <a:schemeClr val="lt1"/>
            </a:solidFill>
          </a:ln>
          <a:effectLst/>
          <a:sp3d contourW="25400">
            <a:contourClr>
              <a:schemeClr val="lt1"/>
            </a:contourClr>
          </a:sp3d>
        </c:spPr>
      </c:pivotFmt>
      <c:pivotFmt>
        <c:idx val="119"/>
        <c:spPr>
          <a:solidFill>
            <a:schemeClr val="accent1"/>
          </a:solidFill>
          <a:ln w="25400">
            <a:solidFill>
              <a:schemeClr val="lt1"/>
            </a:solidFill>
          </a:ln>
          <a:effectLst/>
          <a:sp3d contourW="25400">
            <a:contourClr>
              <a:schemeClr val="lt1"/>
            </a:contourClr>
          </a:sp3d>
        </c:spPr>
      </c:pivotFmt>
      <c:pivotFmt>
        <c:idx val="120"/>
        <c:spPr>
          <a:solidFill>
            <a:schemeClr val="accent1"/>
          </a:solidFill>
          <a:ln w="25400">
            <a:solidFill>
              <a:schemeClr val="lt1"/>
            </a:solidFill>
          </a:ln>
          <a:effectLst/>
          <a:sp3d contourW="25400">
            <a:contourClr>
              <a:schemeClr val="lt1"/>
            </a:contourClr>
          </a:sp3d>
        </c:spPr>
      </c:pivotFmt>
      <c:pivotFmt>
        <c:idx val="121"/>
        <c:spPr>
          <a:solidFill>
            <a:schemeClr val="accent1"/>
          </a:solidFill>
          <a:ln w="25400">
            <a:solidFill>
              <a:schemeClr val="lt1"/>
            </a:solidFill>
          </a:ln>
          <a:effectLst/>
          <a:sp3d contourW="25400">
            <a:contourClr>
              <a:schemeClr val="lt1"/>
            </a:contourClr>
          </a:sp3d>
        </c:spPr>
      </c:pivotFmt>
      <c:pivotFmt>
        <c:idx val="122"/>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3"/>
        <c:spPr>
          <a:solidFill>
            <a:schemeClr val="accent1"/>
          </a:solidFill>
          <a:ln w="25400">
            <a:solidFill>
              <a:schemeClr val="lt1"/>
            </a:solidFill>
          </a:ln>
          <a:effectLst/>
          <a:sp3d contourW="25400">
            <a:contourClr>
              <a:schemeClr val="lt1"/>
            </a:contourClr>
          </a:sp3d>
        </c:spPr>
      </c:pivotFmt>
      <c:pivotFmt>
        <c:idx val="124"/>
        <c:spPr>
          <a:solidFill>
            <a:schemeClr val="accent1"/>
          </a:solidFill>
          <a:ln w="25400">
            <a:solidFill>
              <a:schemeClr val="lt1"/>
            </a:solidFill>
          </a:ln>
          <a:effectLst/>
          <a:sp3d contourW="25400">
            <a:contourClr>
              <a:schemeClr val="lt1"/>
            </a:contourClr>
          </a:sp3d>
        </c:spPr>
      </c:pivotFmt>
      <c:pivotFmt>
        <c:idx val="125"/>
        <c:spPr>
          <a:solidFill>
            <a:schemeClr val="accent1"/>
          </a:solidFill>
          <a:ln w="25400">
            <a:solidFill>
              <a:schemeClr val="lt1"/>
            </a:solidFill>
          </a:ln>
          <a:effectLst/>
          <a:sp3d contourW="25400">
            <a:contourClr>
              <a:schemeClr val="lt1"/>
            </a:contourClr>
          </a:sp3d>
        </c:spPr>
      </c:pivotFmt>
      <c:pivotFmt>
        <c:idx val="126"/>
        <c:spPr>
          <a:solidFill>
            <a:schemeClr val="accent1"/>
          </a:solidFill>
          <a:ln w="25400">
            <a:solidFill>
              <a:schemeClr val="lt1"/>
            </a:solidFill>
          </a:ln>
          <a:effectLst/>
          <a:sp3d contourW="25400">
            <a:contourClr>
              <a:schemeClr val="lt1"/>
            </a:contourClr>
          </a:sp3d>
        </c:spPr>
      </c:pivotFmt>
      <c:pivotFmt>
        <c:idx val="127"/>
        <c:spPr>
          <a:solidFill>
            <a:schemeClr val="accent1"/>
          </a:solidFill>
          <a:ln w="25400">
            <a:solidFill>
              <a:schemeClr val="lt1"/>
            </a:solidFill>
          </a:ln>
          <a:effectLst/>
          <a:sp3d contourW="25400">
            <a:contourClr>
              <a:schemeClr val="lt1"/>
            </a:contourClr>
          </a:sp3d>
        </c:spPr>
      </c:pivotFmt>
      <c:pivotFmt>
        <c:idx val="128"/>
        <c:spPr>
          <a:solidFill>
            <a:schemeClr val="accent1"/>
          </a:solidFill>
          <a:ln w="25400">
            <a:solidFill>
              <a:schemeClr val="lt1"/>
            </a:solidFill>
          </a:ln>
          <a:effectLst/>
          <a:sp3d contourW="25400">
            <a:contourClr>
              <a:schemeClr val="lt1"/>
            </a:contourClr>
          </a:sp3d>
        </c:spPr>
      </c:pivotFmt>
      <c:pivotFmt>
        <c:idx val="129"/>
        <c:spPr>
          <a:solidFill>
            <a:schemeClr val="accent1"/>
          </a:solidFill>
          <a:ln w="25400">
            <a:solidFill>
              <a:schemeClr val="lt1"/>
            </a:solidFill>
          </a:ln>
          <a:effectLst/>
          <a:sp3d contourW="25400">
            <a:contourClr>
              <a:schemeClr val="lt1"/>
            </a:contourClr>
          </a:sp3d>
        </c:spPr>
      </c:pivotFmt>
      <c:pivotFmt>
        <c:idx val="130"/>
        <c:spPr>
          <a:solidFill>
            <a:schemeClr val="accent1"/>
          </a:solidFill>
          <a:ln w="25400">
            <a:solidFill>
              <a:schemeClr val="lt1"/>
            </a:solidFill>
          </a:ln>
          <a:effectLst/>
          <a:sp3d contourW="25400">
            <a:contourClr>
              <a:schemeClr val="lt1"/>
            </a:contourClr>
          </a:sp3d>
        </c:spPr>
      </c:pivotFmt>
      <c:pivotFmt>
        <c:idx val="131"/>
        <c:spPr>
          <a:solidFill>
            <a:schemeClr val="accent1"/>
          </a:solidFill>
          <a:ln w="25400">
            <a:solidFill>
              <a:schemeClr val="lt1"/>
            </a:solidFill>
          </a:ln>
          <a:effectLst/>
          <a:sp3d contourW="25400">
            <a:contourClr>
              <a:schemeClr val="lt1"/>
            </a:contourClr>
          </a:sp3d>
        </c:spPr>
      </c:pivotFmt>
      <c:pivotFmt>
        <c:idx val="132"/>
        <c:spPr>
          <a:solidFill>
            <a:schemeClr val="accent1"/>
          </a:solidFill>
          <a:ln w="25400">
            <a:solidFill>
              <a:schemeClr val="lt1"/>
            </a:solidFill>
          </a:ln>
          <a:effectLst/>
          <a:sp3d contourW="25400">
            <a:contourClr>
              <a:schemeClr val="lt1"/>
            </a:contourClr>
          </a:sp3d>
        </c:spPr>
      </c:pivotFmt>
      <c:pivotFmt>
        <c:idx val="133"/>
        <c:spPr>
          <a:solidFill>
            <a:schemeClr val="accent1"/>
          </a:solidFill>
          <a:ln w="25400">
            <a:solidFill>
              <a:schemeClr val="lt1"/>
            </a:solidFill>
          </a:ln>
          <a:effectLst/>
          <a:sp3d contourW="25400">
            <a:contourClr>
              <a:schemeClr val="lt1"/>
            </a:contourClr>
          </a:sp3d>
        </c:spPr>
      </c:pivotFmt>
      <c:pivotFmt>
        <c:idx val="134"/>
        <c:spPr>
          <a:solidFill>
            <a:schemeClr val="accent1"/>
          </a:solidFill>
          <a:ln w="25400">
            <a:solidFill>
              <a:schemeClr val="lt1"/>
            </a:solidFill>
          </a:ln>
          <a:effectLst/>
          <a:sp3d contourW="25400">
            <a:contourClr>
              <a:schemeClr val="lt1"/>
            </a:contourClr>
          </a:sp3d>
        </c:spPr>
      </c:pivotFmt>
      <c:pivotFmt>
        <c:idx val="135"/>
        <c:spPr>
          <a:solidFill>
            <a:schemeClr val="accent1"/>
          </a:solidFill>
          <a:ln w="25400">
            <a:solidFill>
              <a:schemeClr val="lt1"/>
            </a:solidFill>
          </a:ln>
          <a:effectLst/>
          <a:sp3d contourW="25400">
            <a:contourClr>
              <a:schemeClr val="lt1"/>
            </a:contourClr>
          </a:sp3d>
        </c:spPr>
      </c:pivotFmt>
      <c:pivotFmt>
        <c:idx val="136"/>
        <c:spPr>
          <a:solidFill>
            <a:schemeClr val="accent1"/>
          </a:solidFill>
          <a:ln w="25400">
            <a:solidFill>
              <a:schemeClr val="lt1"/>
            </a:solidFill>
          </a:ln>
          <a:effectLst/>
          <a:sp3d contourW="25400">
            <a:contourClr>
              <a:schemeClr val="lt1"/>
            </a:contourClr>
          </a:sp3d>
        </c:spPr>
      </c:pivotFmt>
      <c:pivotFmt>
        <c:idx val="137"/>
        <c:spPr>
          <a:solidFill>
            <a:schemeClr val="accent1"/>
          </a:solidFill>
          <a:ln w="25400">
            <a:solidFill>
              <a:schemeClr val="lt1"/>
            </a:solidFill>
          </a:ln>
          <a:effectLst/>
          <a:sp3d contourW="25400">
            <a:contourClr>
              <a:schemeClr val="lt1"/>
            </a:contourClr>
          </a:sp3d>
        </c:spPr>
      </c:pivotFmt>
      <c:pivotFmt>
        <c:idx val="138"/>
        <c:spPr>
          <a:solidFill>
            <a:schemeClr val="accent1"/>
          </a:solidFill>
          <a:ln w="25400">
            <a:solidFill>
              <a:schemeClr val="lt1"/>
            </a:solidFill>
          </a:ln>
          <a:effectLst/>
          <a:sp3d contourW="25400">
            <a:contourClr>
              <a:schemeClr val="lt1"/>
            </a:contourClr>
          </a:sp3d>
        </c:spPr>
      </c:pivotFmt>
      <c:pivotFmt>
        <c:idx val="139"/>
        <c:spPr>
          <a:solidFill>
            <a:schemeClr val="accent1"/>
          </a:solidFill>
          <a:ln w="25400">
            <a:solidFill>
              <a:schemeClr val="lt1"/>
            </a:solidFill>
          </a:ln>
          <a:effectLst/>
          <a:sp3d contourW="25400">
            <a:contourClr>
              <a:schemeClr val="lt1"/>
            </a:contourClr>
          </a:sp3d>
        </c:spPr>
      </c:pivotFmt>
      <c:pivotFmt>
        <c:idx val="140"/>
        <c:spPr>
          <a:solidFill>
            <a:schemeClr val="accent1"/>
          </a:solidFill>
          <a:ln w="25400">
            <a:solidFill>
              <a:schemeClr val="lt1"/>
            </a:solidFill>
          </a:ln>
          <a:effectLst/>
          <a:sp3d contourW="25400">
            <a:contourClr>
              <a:schemeClr val="lt1"/>
            </a:contourClr>
          </a:sp3d>
        </c:spPr>
      </c:pivotFmt>
      <c:pivotFmt>
        <c:idx val="141"/>
        <c:spPr>
          <a:solidFill>
            <a:schemeClr val="accent1"/>
          </a:solidFill>
          <a:ln w="25400">
            <a:solidFill>
              <a:schemeClr val="lt1"/>
            </a:solidFill>
          </a:ln>
          <a:effectLst/>
          <a:sp3d contourW="25400">
            <a:contourClr>
              <a:schemeClr val="lt1"/>
            </a:contourClr>
          </a:sp3d>
        </c:spPr>
      </c:pivotFmt>
      <c:pivotFmt>
        <c:idx val="142"/>
        <c:spPr>
          <a:solidFill>
            <a:schemeClr val="accent1"/>
          </a:solidFill>
          <a:ln w="25400">
            <a:solidFill>
              <a:schemeClr val="lt1"/>
            </a:solidFill>
          </a:ln>
          <a:effectLst/>
          <a:sp3d contourW="25400">
            <a:contourClr>
              <a:schemeClr val="lt1"/>
            </a:contourClr>
          </a:sp3d>
        </c:spPr>
      </c:pivotFmt>
      <c:pivotFmt>
        <c:idx val="143"/>
        <c:spPr>
          <a:solidFill>
            <a:schemeClr val="accent1"/>
          </a:solidFill>
          <a:ln w="25400">
            <a:solidFill>
              <a:schemeClr val="lt1"/>
            </a:solidFill>
          </a:ln>
          <a:effectLst/>
          <a:sp3d contourW="25400">
            <a:contourClr>
              <a:schemeClr val="lt1"/>
            </a:contourClr>
          </a:sp3d>
        </c:spPr>
      </c:pivotFmt>
      <c:pivotFmt>
        <c:idx val="144"/>
        <c:spPr>
          <a:solidFill>
            <a:schemeClr val="accent1"/>
          </a:solidFill>
          <a:ln w="25400">
            <a:solidFill>
              <a:schemeClr val="lt1"/>
            </a:solidFill>
          </a:ln>
          <a:effectLst/>
          <a:sp3d contourW="25400">
            <a:contourClr>
              <a:schemeClr val="lt1"/>
            </a:contourClr>
          </a:sp3d>
        </c:spPr>
      </c:pivotFmt>
      <c:pivotFmt>
        <c:idx val="145"/>
        <c:spPr>
          <a:solidFill>
            <a:schemeClr val="accent1"/>
          </a:solidFill>
          <a:ln w="25400">
            <a:solidFill>
              <a:schemeClr val="lt1"/>
            </a:solidFill>
          </a:ln>
          <a:effectLst/>
          <a:sp3d contourW="25400">
            <a:contourClr>
              <a:schemeClr val="lt1"/>
            </a:contourClr>
          </a:sp3d>
        </c:spPr>
      </c:pivotFmt>
      <c:pivotFmt>
        <c:idx val="146"/>
        <c:spPr>
          <a:solidFill>
            <a:schemeClr val="accent1"/>
          </a:solidFill>
          <a:ln w="25400">
            <a:solidFill>
              <a:schemeClr val="lt1"/>
            </a:solidFill>
          </a:ln>
          <a:effectLst/>
          <a:sp3d contourW="25400">
            <a:contourClr>
              <a:schemeClr val="lt1"/>
            </a:contourClr>
          </a:sp3d>
        </c:spPr>
      </c:pivotFmt>
      <c:pivotFmt>
        <c:idx val="147"/>
        <c:spPr>
          <a:solidFill>
            <a:schemeClr val="accent1"/>
          </a:solidFill>
          <a:ln w="25400">
            <a:solidFill>
              <a:schemeClr val="lt1"/>
            </a:solidFill>
          </a:ln>
          <a:effectLst/>
          <a:sp3d contourW="25400">
            <a:contourClr>
              <a:schemeClr val="lt1"/>
            </a:contourClr>
          </a:sp3d>
        </c:spPr>
      </c:pivotFmt>
      <c:pivotFmt>
        <c:idx val="148"/>
        <c:spPr>
          <a:solidFill>
            <a:schemeClr val="accent1"/>
          </a:solidFill>
          <a:ln w="25400">
            <a:solidFill>
              <a:schemeClr val="lt1"/>
            </a:solidFill>
          </a:ln>
          <a:effectLst/>
          <a:sp3d contourW="25400">
            <a:contourClr>
              <a:schemeClr val="lt1"/>
            </a:contourClr>
          </a:sp3d>
        </c:spPr>
      </c:pivotFmt>
      <c:pivotFmt>
        <c:idx val="149"/>
        <c:spPr>
          <a:solidFill>
            <a:schemeClr val="accent1"/>
          </a:solidFill>
          <a:ln w="25400">
            <a:solidFill>
              <a:schemeClr val="lt1"/>
            </a:solidFill>
          </a:ln>
          <a:effectLst/>
          <a:sp3d contourW="25400">
            <a:contourClr>
              <a:schemeClr val="lt1"/>
            </a:contourClr>
          </a:sp3d>
        </c:spPr>
      </c:pivotFmt>
      <c:pivotFmt>
        <c:idx val="150"/>
        <c:spPr>
          <a:solidFill>
            <a:schemeClr val="accent1"/>
          </a:solidFill>
          <a:ln w="25400">
            <a:solidFill>
              <a:schemeClr val="lt1"/>
            </a:solidFill>
          </a:ln>
          <a:effectLst/>
          <a:sp3d contourW="25400">
            <a:contourClr>
              <a:schemeClr val="lt1"/>
            </a:contourClr>
          </a:sp3d>
        </c:spPr>
      </c:pivotFmt>
      <c:pivotFmt>
        <c:idx val="151"/>
        <c:spPr>
          <a:solidFill>
            <a:schemeClr val="accent1"/>
          </a:solidFill>
          <a:ln w="25400">
            <a:solidFill>
              <a:schemeClr val="lt1"/>
            </a:solidFill>
          </a:ln>
          <a:effectLst/>
          <a:sp3d contourW="25400">
            <a:contourClr>
              <a:schemeClr val="lt1"/>
            </a:contourClr>
          </a:sp3d>
        </c:spPr>
      </c:pivotFmt>
      <c:pivotFmt>
        <c:idx val="152"/>
        <c:spPr>
          <a:solidFill>
            <a:schemeClr val="accent1"/>
          </a:solidFill>
          <a:ln w="25400">
            <a:solidFill>
              <a:schemeClr val="lt1"/>
            </a:solidFill>
          </a:ln>
          <a:effectLst/>
          <a:sp3d contourW="25400">
            <a:contourClr>
              <a:schemeClr val="lt1"/>
            </a:contourClr>
          </a:sp3d>
        </c:spPr>
      </c:pivotFmt>
      <c:pivotFmt>
        <c:idx val="153"/>
        <c:spPr>
          <a:solidFill>
            <a:schemeClr val="accent1"/>
          </a:solidFill>
          <a:ln w="25400">
            <a:solidFill>
              <a:schemeClr val="lt1"/>
            </a:solidFill>
          </a:ln>
          <a:effectLst/>
          <a:sp3d contourW="25400">
            <a:contourClr>
              <a:schemeClr val="lt1"/>
            </a:contourClr>
          </a:sp3d>
        </c:spPr>
      </c:pivotFmt>
      <c:pivotFmt>
        <c:idx val="154"/>
        <c:spPr>
          <a:solidFill>
            <a:schemeClr val="accent1"/>
          </a:solidFill>
          <a:ln w="25400">
            <a:solidFill>
              <a:schemeClr val="lt1"/>
            </a:solidFill>
          </a:ln>
          <a:effectLst/>
          <a:sp3d contourW="25400">
            <a:contourClr>
              <a:schemeClr val="lt1"/>
            </a:contourClr>
          </a:sp3d>
        </c:spPr>
      </c:pivotFmt>
      <c:pivotFmt>
        <c:idx val="155"/>
        <c:spPr>
          <a:solidFill>
            <a:schemeClr val="accent1"/>
          </a:solidFill>
          <a:ln w="25400">
            <a:solidFill>
              <a:schemeClr val="lt1"/>
            </a:solidFill>
          </a:ln>
          <a:effectLst/>
          <a:sp3d contourW="25400">
            <a:contourClr>
              <a:schemeClr val="lt1"/>
            </a:contourClr>
          </a:sp3d>
        </c:spPr>
      </c:pivotFmt>
      <c:pivotFmt>
        <c:idx val="156"/>
        <c:spPr>
          <a:solidFill>
            <a:schemeClr val="accent1"/>
          </a:solidFill>
          <a:ln w="25400">
            <a:solidFill>
              <a:schemeClr val="lt1"/>
            </a:solidFill>
          </a:ln>
          <a:effectLst/>
          <a:sp3d contourW="25400">
            <a:contourClr>
              <a:schemeClr val="lt1"/>
            </a:contourClr>
          </a:sp3d>
        </c:spPr>
      </c:pivotFmt>
      <c:pivotFmt>
        <c:idx val="157"/>
        <c:spPr>
          <a:solidFill>
            <a:schemeClr val="accent1"/>
          </a:solidFill>
          <a:ln w="25400">
            <a:solidFill>
              <a:schemeClr val="lt1"/>
            </a:solidFill>
          </a:ln>
          <a:effectLst/>
          <a:sp3d contourW="25400">
            <a:contourClr>
              <a:schemeClr val="lt1"/>
            </a:contourClr>
          </a:sp3d>
        </c:spPr>
      </c:pivotFmt>
      <c:pivotFmt>
        <c:idx val="158"/>
        <c:spPr>
          <a:solidFill>
            <a:schemeClr val="accent1"/>
          </a:solidFill>
          <a:ln w="25400">
            <a:solidFill>
              <a:schemeClr val="lt1"/>
            </a:solidFill>
          </a:ln>
          <a:effectLst/>
          <a:sp3d contourW="25400">
            <a:contourClr>
              <a:schemeClr val="lt1"/>
            </a:contourClr>
          </a:sp3d>
        </c:spPr>
      </c:pivotFmt>
      <c:pivotFmt>
        <c:idx val="159"/>
        <c:spPr>
          <a:solidFill>
            <a:schemeClr val="accent1"/>
          </a:solidFill>
          <a:ln w="25400">
            <a:solidFill>
              <a:schemeClr val="lt1"/>
            </a:solidFill>
          </a:ln>
          <a:effectLst/>
          <a:sp3d contourW="25400">
            <a:contourClr>
              <a:schemeClr val="lt1"/>
            </a:contourClr>
          </a:sp3d>
        </c:spPr>
      </c:pivotFmt>
      <c:pivotFmt>
        <c:idx val="160"/>
        <c:spPr>
          <a:solidFill>
            <a:schemeClr val="accent1"/>
          </a:solidFill>
          <a:ln w="25400">
            <a:solidFill>
              <a:schemeClr val="lt1"/>
            </a:solidFill>
          </a:ln>
          <a:effectLst/>
          <a:sp3d contourW="25400">
            <a:contourClr>
              <a:schemeClr val="lt1"/>
            </a:contourClr>
          </a:sp3d>
        </c:spPr>
      </c:pivotFmt>
      <c:pivotFmt>
        <c:idx val="161"/>
        <c:spPr>
          <a:solidFill>
            <a:schemeClr val="accent1"/>
          </a:solidFill>
          <a:ln w="25400">
            <a:solidFill>
              <a:schemeClr val="lt1"/>
            </a:solidFill>
          </a:ln>
          <a:effectLst/>
          <a:sp3d contourW="25400">
            <a:contourClr>
              <a:schemeClr val="lt1"/>
            </a:contourClr>
          </a:sp3d>
        </c:spPr>
      </c:pivotFmt>
      <c:pivotFmt>
        <c:idx val="162"/>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3"/>
        <c:spPr>
          <a:solidFill>
            <a:schemeClr val="accent1"/>
          </a:solidFill>
          <a:ln w="25400">
            <a:solidFill>
              <a:schemeClr val="lt1"/>
            </a:solidFill>
          </a:ln>
          <a:effectLst/>
          <a:sp3d contourW="25400">
            <a:contourClr>
              <a:schemeClr val="lt1"/>
            </a:contourClr>
          </a:sp3d>
        </c:spPr>
      </c:pivotFmt>
      <c:pivotFmt>
        <c:idx val="164"/>
        <c:spPr>
          <a:solidFill>
            <a:schemeClr val="accent1"/>
          </a:solidFill>
          <a:ln w="25400">
            <a:solidFill>
              <a:schemeClr val="lt1"/>
            </a:solidFill>
          </a:ln>
          <a:effectLst/>
          <a:sp3d contourW="25400">
            <a:contourClr>
              <a:schemeClr val="lt1"/>
            </a:contourClr>
          </a:sp3d>
        </c:spPr>
      </c:pivotFmt>
      <c:pivotFmt>
        <c:idx val="165"/>
        <c:spPr>
          <a:solidFill>
            <a:schemeClr val="accent1"/>
          </a:solidFill>
          <a:ln w="25400">
            <a:solidFill>
              <a:schemeClr val="lt1"/>
            </a:solidFill>
          </a:ln>
          <a:effectLst/>
          <a:sp3d contourW="25400">
            <a:contourClr>
              <a:schemeClr val="lt1"/>
            </a:contourClr>
          </a:sp3d>
        </c:spPr>
      </c:pivotFmt>
      <c:pivotFmt>
        <c:idx val="166"/>
        <c:spPr>
          <a:solidFill>
            <a:schemeClr val="accent1"/>
          </a:solidFill>
          <a:ln w="25400">
            <a:solidFill>
              <a:schemeClr val="lt1"/>
            </a:solidFill>
          </a:ln>
          <a:effectLst/>
          <a:sp3d contourW="25400">
            <a:contourClr>
              <a:schemeClr val="lt1"/>
            </a:contourClr>
          </a:sp3d>
        </c:spPr>
      </c:pivotFmt>
      <c:pivotFmt>
        <c:idx val="167"/>
        <c:spPr>
          <a:solidFill>
            <a:schemeClr val="accent1"/>
          </a:solidFill>
          <a:ln w="25400">
            <a:solidFill>
              <a:schemeClr val="lt1"/>
            </a:solidFill>
          </a:ln>
          <a:effectLst/>
          <a:sp3d contourW="25400">
            <a:contourClr>
              <a:schemeClr val="lt1"/>
            </a:contourClr>
          </a:sp3d>
        </c:spPr>
      </c:pivotFmt>
      <c:pivotFmt>
        <c:idx val="168"/>
        <c:spPr>
          <a:solidFill>
            <a:schemeClr val="accent1"/>
          </a:solidFill>
          <a:ln w="25400">
            <a:solidFill>
              <a:schemeClr val="lt1"/>
            </a:solidFill>
          </a:ln>
          <a:effectLst/>
          <a:sp3d contourW="25400">
            <a:contourClr>
              <a:schemeClr val="lt1"/>
            </a:contourClr>
          </a:sp3d>
        </c:spPr>
      </c:pivotFmt>
      <c:pivotFmt>
        <c:idx val="169"/>
        <c:spPr>
          <a:solidFill>
            <a:schemeClr val="accent1"/>
          </a:solidFill>
          <a:ln w="25400">
            <a:solidFill>
              <a:schemeClr val="lt1"/>
            </a:solidFill>
          </a:ln>
          <a:effectLst/>
          <a:sp3d contourW="25400">
            <a:contourClr>
              <a:schemeClr val="lt1"/>
            </a:contourClr>
          </a:sp3d>
        </c:spPr>
      </c:pivotFmt>
      <c:pivotFmt>
        <c:idx val="170"/>
        <c:spPr>
          <a:solidFill>
            <a:schemeClr val="accent1"/>
          </a:solidFill>
          <a:ln w="25400">
            <a:solidFill>
              <a:schemeClr val="lt1"/>
            </a:solidFill>
          </a:ln>
          <a:effectLst/>
          <a:sp3d contourW="25400">
            <a:contourClr>
              <a:schemeClr val="lt1"/>
            </a:contourClr>
          </a:sp3d>
        </c:spPr>
      </c:pivotFmt>
      <c:pivotFmt>
        <c:idx val="171"/>
        <c:spPr>
          <a:solidFill>
            <a:schemeClr val="accent1"/>
          </a:solidFill>
          <a:ln w="25400">
            <a:solidFill>
              <a:schemeClr val="lt1"/>
            </a:solidFill>
          </a:ln>
          <a:effectLst/>
          <a:sp3d contourW="25400">
            <a:contourClr>
              <a:schemeClr val="lt1"/>
            </a:contourClr>
          </a:sp3d>
        </c:spPr>
      </c:pivotFmt>
      <c:pivotFmt>
        <c:idx val="172"/>
        <c:spPr>
          <a:solidFill>
            <a:schemeClr val="accent1"/>
          </a:solidFill>
          <a:ln w="25400">
            <a:solidFill>
              <a:schemeClr val="lt1"/>
            </a:solidFill>
          </a:ln>
          <a:effectLst/>
          <a:sp3d contourW="25400">
            <a:contourClr>
              <a:schemeClr val="lt1"/>
            </a:contourClr>
          </a:sp3d>
        </c:spPr>
      </c:pivotFmt>
      <c:pivotFmt>
        <c:idx val="173"/>
        <c:spPr>
          <a:solidFill>
            <a:schemeClr val="accent1"/>
          </a:solidFill>
          <a:ln w="25400">
            <a:solidFill>
              <a:schemeClr val="lt1"/>
            </a:solidFill>
          </a:ln>
          <a:effectLst/>
          <a:sp3d contourW="25400">
            <a:contourClr>
              <a:schemeClr val="lt1"/>
            </a:contourClr>
          </a:sp3d>
        </c:spPr>
      </c:pivotFmt>
      <c:pivotFmt>
        <c:idx val="174"/>
        <c:spPr>
          <a:solidFill>
            <a:schemeClr val="accent1"/>
          </a:solidFill>
          <a:ln w="25400">
            <a:solidFill>
              <a:schemeClr val="lt1"/>
            </a:solidFill>
          </a:ln>
          <a:effectLst/>
          <a:sp3d contourW="25400">
            <a:contourClr>
              <a:schemeClr val="lt1"/>
            </a:contourClr>
          </a:sp3d>
        </c:spPr>
      </c:pivotFmt>
      <c:pivotFmt>
        <c:idx val="175"/>
        <c:spPr>
          <a:solidFill>
            <a:schemeClr val="accent1"/>
          </a:solidFill>
          <a:ln w="25400">
            <a:solidFill>
              <a:schemeClr val="lt1"/>
            </a:solidFill>
          </a:ln>
          <a:effectLst/>
          <a:sp3d contourW="25400">
            <a:contourClr>
              <a:schemeClr val="lt1"/>
            </a:contourClr>
          </a:sp3d>
        </c:spPr>
      </c:pivotFmt>
      <c:pivotFmt>
        <c:idx val="176"/>
        <c:spPr>
          <a:solidFill>
            <a:schemeClr val="accent1"/>
          </a:solidFill>
          <a:ln w="25400">
            <a:solidFill>
              <a:schemeClr val="lt1"/>
            </a:solidFill>
          </a:ln>
          <a:effectLst/>
          <a:sp3d contourW="25400">
            <a:contourClr>
              <a:schemeClr val="lt1"/>
            </a:contourClr>
          </a:sp3d>
        </c:spPr>
      </c:pivotFmt>
      <c:pivotFmt>
        <c:idx val="177"/>
        <c:spPr>
          <a:solidFill>
            <a:schemeClr val="accent1"/>
          </a:solidFill>
          <a:ln w="25400">
            <a:solidFill>
              <a:schemeClr val="lt1"/>
            </a:solidFill>
          </a:ln>
          <a:effectLst/>
          <a:sp3d contourW="25400">
            <a:contourClr>
              <a:schemeClr val="lt1"/>
            </a:contourClr>
          </a:sp3d>
        </c:spPr>
      </c:pivotFmt>
      <c:pivotFmt>
        <c:idx val="178"/>
        <c:spPr>
          <a:solidFill>
            <a:schemeClr val="accent1"/>
          </a:solidFill>
          <a:ln w="25400">
            <a:solidFill>
              <a:schemeClr val="lt1"/>
            </a:solidFill>
          </a:ln>
          <a:effectLst/>
          <a:sp3d contourW="25400">
            <a:contourClr>
              <a:schemeClr val="lt1"/>
            </a:contourClr>
          </a:sp3d>
        </c:spPr>
      </c:pivotFmt>
      <c:pivotFmt>
        <c:idx val="179"/>
        <c:spPr>
          <a:solidFill>
            <a:schemeClr val="accent1"/>
          </a:solidFill>
          <a:ln w="25400">
            <a:solidFill>
              <a:schemeClr val="lt1"/>
            </a:solidFill>
          </a:ln>
          <a:effectLst/>
          <a:sp3d contourW="25400">
            <a:contourClr>
              <a:schemeClr val="lt1"/>
            </a:contourClr>
          </a:sp3d>
        </c:spPr>
      </c:pivotFmt>
      <c:pivotFmt>
        <c:idx val="180"/>
        <c:spPr>
          <a:solidFill>
            <a:schemeClr val="accent1"/>
          </a:solidFill>
          <a:ln w="25400">
            <a:solidFill>
              <a:schemeClr val="lt1"/>
            </a:solidFill>
          </a:ln>
          <a:effectLst/>
          <a:sp3d contourW="25400">
            <a:contourClr>
              <a:schemeClr val="lt1"/>
            </a:contourClr>
          </a:sp3d>
        </c:spPr>
      </c:pivotFmt>
      <c:pivotFmt>
        <c:idx val="181"/>
        <c:spPr>
          <a:solidFill>
            <a:schemeClr val="accent1"/>
          </a:solidFill>
          <a:ln w="25400">
            <a:solidFill>
              <a:schemeClr val="lt1"/>
            </a:solidFill>
          </a:ln>
          <a:effectLst/>
          <a:sp3d contourW="25400">
            <a:contourClr>
              <a:schemeClr val="lt1"/>
            </a:contourClr>
          </a:sp3d>
        </c:spPr>
      </c:pivotFmt>
      <c:pivotFmt>
        <c:idx val="182"/>
        <c:spPr>
          <a:solidFill>
            <a:schemeClr val="accent1"/>
          </a:solidFill>
          <a:ln w="25400">
            <a:solidFill>
              <a:schemeClr val="lt1"/>
            </a:solidFill>
          </a:ln>
          <a:effectLst/>
          <a:sp3d contourW="25400">
            <a:contourClr>
              <a:schemeClr val="lt1"/>
            </a:contourClr>
          </a:sp3d>
        </c:spPr>
      </c:pivotFmt>
      <c:pivotFmt>
        <c:idx val="183"/>
        <c:spPr>
          <a:solidFill>
            <a:schemeClr val="accent1"/>
          </a:solidFill>
          <a:ln w="25400">
            <a:solidFill>
              <a:schemeClr val="lt1"/>
            </a:solidFill>
          </a:ln>
          <a:effectLst/>
          <a:sp3d contourW="25400">
            <a:contourClr>
              <a:schemeClr val="lt1"/>
            </a:contourClr>
          </a:sp3d>
        </c:spPr>
      </c:pivotFmt>
      <c:pivotFmt>
        <c:idx val="184"/>
        <c:spPr>
          <a:solidFill>
            <a:schemeClr val="accent1"/>
          </a:solidFill>
          <a:ln w="25400">
            <a:solidFill>
              <a:schemeClr val="lt1"/>
            </a:solidFill>
          </a:ln>
          <a:effectLst/>
          <a:sp3d contourW="25400">
            <a:contourClr>
              <a:schemeClr val="lt1"/>
            </a:contourClr>
          </a:sp3d>
        </c:spPr>
      </c:pivotFmt>
      <c:pivotFmt>
        <c:idx val="185"/>
        <c:spPr>
          <a:solidFill>
            <a:schemeClr val="accent1"/>
          </a:solidFill>
          <a:ln w="25400">
            <a:solidFill>
              <a:schemeClr val="lt1"/>
            </a:solidFill>
          </a:ln>
          <a:effectLst/>
          <a:sp3d contourW="25400">
            <a:contourClr>
              <a:schemeClr val="lt1"/>
            </a:contourClr>
          </a:sp3d>
        </c:spPr>
      </c:pivotFmt>
      <c:pivotFmt>
        <c:idx val="186"/>
        <c:spPr>
          <a:solidFill>
            <a:schemeClr val="accent1"/>
          </a:solidFill>
          <a:ln w="25400">
            <a:solidFill>
              <a:schemeClr val="lt1"/>
            </a:solidFill>
          </a:ln>
          <a:effectLst/>
          <a:sp3d contourW="25400">
            <a:contourClr>
              <a:schemeClr val="lt1"/>
            </a:contourClr>
          </a:sp3d>
        </c:spPr>
      </c:pivotFmt>
      <c:pivotFmt>
        <c:idx val="187"/>
        <c:spPr>
          <a:solidFill>
            <a:schemeClr val="accent1"/>
          </a:solidFill>
          <a:ln w="25400">
            <a:solidFill>
              <a:schemeClr val="lt1"/>
            </a:solidFill>
          </a:ln>
          <a:effectLst/>
          <a:sp3d contourW="25400">
            <a:contourClr>
              <a:schemeClr val="lt1"/>
            </a:contourClr>
          </a:sp3d>
        </c:spPr>
      </c:pivotFmt>
      <c:pivotFmt>
        <c:idx val="188"/>
        <c:spPr>
          <a:solidFill>
            <a:schemeClr val="accent1"/>
          </a:solidFill>
          <a:ln w="25400">
            <a:solidFill>
              <a:schemeClr val="lt1"/>
            </a:solidFill>
          </a:ln>
          <a:effectLst/>
          <a:sp3d contourW="25400">
            <a:contourClr>
              <a:schemeClr val="lt1"/>
            </a:contourClr>
          </a:sp3d>
        </c:spPr>
      </c:pivotFmt>
      <c:pivotFmt>
        <c:idx val="189"/>
        <c:spPr>
          <a:solidFill>
            <a:schemeClr val="accent1"/>
          </a:solidFill>
          <a:ln w="25400">
            <a:solidFill>
              <a:schemeClr val="lt1"/>
            </a:solidFill>
          </a:ln>
          <a:effectLst/>
          <a:sp3d contourW="25400">
            <a:contourClr>
              <a:schemeClr val="lt1"/>
            </a:contourClr>
          </a:sp3d>
        </c:spPr>
      </c:pivotFmt>
      <c:pivotFmt>
        <c:idx val="190"/>
        <c:spPr>
          <a:solidFill>
            <a:schemeClr val="accent1"/>
          </a:solidFill>
          <a:ln w="25400">
            <a:solidFill>
              <a:schemeClr val="lt1"/>
            </a:solidFill>
          </a:ln>
          <a:effectLst/>
          <a:sp3d contourW="25400">
            <a:contourClr>
              <a:schemeClr val="lt1"/>
            </a:contourClr>
          </a:sp3d>
        </c:spPr>
      </c:pivotFmt>
      <c:pivotFmt>
        <c:idx val="191"/>
        <c:spPr>
          <a:solidFill>
            <a:schemeClr val="accent1"/>
          </a:solidFill>
          <a:ln w="25400">
            <a:solidFill>
              <a:schemeClr val="lt1"/>
            </a:solidFill>
          </a:ln>
          <a:effectLst/>
          <a:sp3d contourW="25400">
            <a:contourClr>
              <a:schemeClr val="lt1"/>
            </a:contourClr>
          </a:sp3d>
        </c:spPr>
      </c:pivotFmt>
      <c:pivotFmt>
        <c:idx val="192"/>
        <c:spPr>
          <a:solidFill>
            <a:schemeClr val="accent1"/>
          </a:solidFill>
          <a:ln w="25400">
            <a:solidFill>
              <a:schemeClr val="lt1"/>
            </a:solidFill>
          </a:ln>
          <a:effectLst/>
          <a:sp3d contourW="25400">
            <a:contourClr>
              <a:schemeClr val="lt1"/>
            </a:contourClr>
          </a:sp3d>
        </c:spPr>
      </c:pivotFmt>
      <c:pivotFmt>
        <c:idx val="193"/>
        <c:spPr>
          <a:solidFill>
            <a:schemeClr val="accent1"/>
          </a:solidFill>
          <a:ln w="25400">
            <a:solidFill>
              <a:schemeClr val="lt1"/>
            </a:solidFill>
          </a:ln>
          <a:effectLst/>
          <a:sp3d contourW="25400">
            <a:contourClr>
              <a:schemeClr val="lt1"/>
            </a:contourClr>
          </a:sp3d>
        </c:spPr>
      </c:pivotFmt>
      <c:pivotFmt>
        <c:idx val="194"/>
        <c:spPr>
          <a:solidFill>
            <a:schemeClr val="accent1"/>
          </a:solidFill>
          <a:ln w="25400">
            <a:solidFill>
              <a:schemeClr val="lt1"/>
            </a:solidFill>
          </a:ln>
          <a:effectLst/>
          <a:sp3d contourW="25400">
            <a:contourClr>
              <a:schemeClr val="lt1"/>
            </a:contourClr>
          </a:sp3d>
        </c:spPr>
      </c:pivotFmt>
      <c:pivotFmt>
        <c:idx val="195"/>
        <c:spPr>
          <a:solidFill>
            <a:schemeClr val="accent1"/>
          </a:solidFill>
          <a:ln w="25400">
            <a:solidFill>
              <a:schemeClr val="lt1"/>
            </a:solidFill>
          </a:ln>
          <a:effectLst/>
          <a:sp3d contourW="25400">
            <a:contourClr>
              <a:schemeClr val="lt1"/>
            </a:contourClr>
          </a:sp3d>
        </c:spPr>
      </c:pivotFmt>
      <c:pivotFmt>
        <c:idx val="196"/>
        <c:spPr>
          <a:solidFill>
            <a:schemeClr val="accent1"/>
          </a:solidFill>
          <a:ln w="25400">
            <a:solidFill>
              <a:schemeClr val="lt1"/>
            </a:solidFill>
          </a:ln>
          <a:effectLst/>
          <a:sp3d contourW="25400">
            <a:contourClr>
              <a:schemeClr val="lt1"/>
            </a:contourClr>
          </a:sp3d>
        </c:spPr>
      </c:pivotFmt>
      <c:pivotFmt>
        <c:idx val="197"/>
        <c:spPr>
          <a:solidFill>
            <a:schemeClr val="accent1"/>
          </a:solidFill>
          <a:ln w="25400">
            <a:solidFill>
              <a:schemeClr val="lt1"/>
            </a:solidFill>
          </a:ln>
          <a:effectLst/>
          <a:sp3d contourW="25400">
            <a:contourClr>
              <a:schemeClr val="lt1"/>
            </a:contourClr>
          </a:sp3d>
        </c:spPr>
      </c:pivotFmt>
      <c:pivotFmt>
        <c:idx val="198"/>
        <c:spPr>
          <a:solidFill>
            <a:schemeClr val="accent1"/>
          </a:solidFill>
          <a:ln w="25400">
            <a:solidFill>
              <a:schemeClr val="lt1"/>
            </a:solidFill>
          </a:ln>
          <a:effectLst/>
          <a:sp3d contourW="25400">
            <a:contourClr>
              <a:schemeClr val="lt1"/>
            </a:contourClr>
          </a:sp3d>
        </c:spPr>
      </c:pivotFmt>
      <c:pivotFmt>
        <c:idx val="199"/>
        <c:spPr>
          <a:solidFill>
            <a:schemeClr val="accent1"/>
          </a:solidFill>
          <a:ln w="25400">
            <a:solidFill>
              <a:schemeClr val="lt1"/>
            </a:solidFill>
          </a:ln>
          <a:effectLst/>
          <a:sp3d contourW="25400">
            <a:contourClr>
              <a:schemeClr val="lt1"/>
            </a:contourClr>
          </a:sp3d>
        </c:spPr>
      </c:pivotFmt>
      <c:pivotFmt>
        <c:idx val="200"/>
        <c:spPr>
          <a:solidFill>
            <a:schemeClr val="accent1"/>
          </a:solidFill>
          <a:ln w="25400">
            <a:solidFill>
              <a:schemeClr val="lt1"/>
            </a:solidFill>
          </a:ln>
          <a:effectLst/>
          <a:sp3d contourW="25400">
            <a:contourClr>
              <a:schemeClr val="lt1"/>
            </a:contourClr>
          </a:sp3d>
        </c:spPr>
      </c:pivotFmt>
      <c:pivotFmt>
        <c:idx val="201"/>
        <c:spPr>
          <a:solidFill>
            <a:schemeClr val="accent1"/>
          </a:solidFill>
          <a:ln w="25400">
            <a:solidFill>
              <a:schemeClr val="lt1"/>
            </a:solidFill>
          </a:ln>
          <a:effectLst/>
          <a:sp3d contourW="25400">
            <a:contourClr>
              <a:schemeClr val="lt1"/>
            </a:contourClr>
          </a:sp3d>
        </c:spPr>
      </c:pivotFmt>
      <c:pivotFmt>
        <c:idx val="202"/>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3"/>
        <c:spPr>
          <a:solidFill>
            <a:schemeClr val="accent1"/>
          </a:solidFill>
          <a:ln w="25400">
            <a:solidFill>
              <a:schemeClr val="lt1"/>
            </a:solidFill>
          </a:ln>
          <a:effectLst/>
          <a:sp3d contourW="25400">
            <a:contourClr>
              <a:schemeClr val="lt1"/>
            </a:contourClr>
          </a:sp3d>
        </c:spPr>
      </c:pivotFmt>
      <c:pivotFmt>
        <c:idx val="204"/>
        <c:spPr>
          <a:solidFill>
            <a:schemeClr val="accent1"/>
          </a:solidFill>
          <a:ln w="25400">
            <a:solidFill>
              <a:schemeClr val="lt1"/>
            </a:solidFill>
          </a:ln>
          <a:effectLst/>
          <a:sp3d contourW="25400">
            <a:contourClr>
              <a:schemeClr val="lt1"/>
            </a:contourClr>
          </a:sp3d>
        </c:spPr>
      </c:pivotFmt>
      <c:pivotFmt>
        <c:idx val="205"/>
        <c:spPr>
          <a:solidFill>
            <a:schemeClr val="accent1"/>
          </a:solidFill>
          <a:ln w="25400">
            <a:solidFill>
              <a:schemeClr val="lt1"/>
            </a:solidFill>
          </a:ln>
          <a:effectLst/>
          <a:sp3d contourW="25400">
            <a:contourClr>
              <a:schemeClr val="lt1"/>
            </a:contourClr>
          </a:sp3d>
        </c:spPr>
      </c:pivotFmt>
      <c:pivotFmt>
        <c:idx val="206"/>
        <c:spPr>
          <a:solidFill>
            <a:schemeClr val="accent1"/>
          </a:solidFill>
          <a:ln w="25400">
            <a:solidFill>
              <a:schemeClr val="lt1"/>
            </a:solidFill>
          </a:ln>
          <a:effectLst/>
          <a:sp3d contourW="25400">
            <a:contourClr>
              <a:schemeClr val="lt1"/>
            </a:contourClr>
          </a:sp3d>
        </c:spPr>
      </c:pivotFmt>
      <c:pivotFmt>
        <c:idx val="207"/>
        <c:spPr>
          <a:solidFill>
            <a:schemeClr val="accent1"/>
          </a:solidFill>
          <a:ln w="25400">
            <a:solidFill>
              <a:schemeClr val="lt1"/>
            </a:solidFill>
          </a:ln>
          <a:effectLst/>
          <a:sp3d contourW="25400">
            <a:contourClr>
              <a:schemeClr val="lt1"/>
            </a:contourClr>
          </a:sp3d>
        </c:spPr>
      </c:pivotFmt>
      <c:pivotFmt>
        <c:idx val="208"/>
        <c:spPr>
          <a:solidFill>
            <a:schemeClr val="accent1"/>
          </a:solidFill>
          <a:ln w="25400">
            <a:solidFill>
              <a:schemeClr val="lt1"/>
            </a:solidFill>
          </a:ln>
          <a:effectLst/>
          <a:sp3d contourW="25400">
            <a:contourClr>
              <a:schemeClr val="lt1"/>
            </a:contourClr>
          </a:sp3d>
        </c:spPr>
      </c:pivotFmt>
      <c:pivotFmt>
        <c:idx val="209"/>
        <c:spPr>
          <a:solidFill>
            <a:schemeClr val="accent1"/>
          </a:solidFill>
          <a:ln w="25400">
            <a:solidFill>
              <a:schemeClr val="lt1"/>
            </a:solidFill>
          </a:ln>
          <a:effectLst/>
          <a:sp3d contourW="25400">
            <a:contourClr>
              <a:schemeClr val="lt1"/>
            </a:contourClr>
          </a:sp3d>
        </c:spPr>
      </c:pivotFmt>
      <c:pivotFmt>
        <c:idx val="210"/>
        <c:spPr>
          <a:solidFill>
            <a:schemeClr val="accent1"/>
          </a:solidFill>
          <a:ln w="25400">
            <a:solidFill>
              <a:schemeClr val="lt1"/>
            </a:solidFill>
          </a:ln>
          <a:effectLst/>
          <a:sp3d contourW="25400">
            <a:contourClr>
              <a:schemeClr val="lt1"/>
            </a:contourClr>
          </a:sp3d>
        </c:spPr>
      </c:pivotFmt>
      <c:pivotFmt>
        <c:idx val="211"/>
        <c:spPr>
          <a:solidFill>
            <a:schemeClr val="accent1"/>
          </a:solidFill>
          <a:ln w="25400">
            <a:solidFill>
              <a:schemeClr val="lt1"/>
            </a:solidFill>
          </a:ln>
          <a:effectLst/>
          <a:sp3d contourW="25400">
            <a:contourClr>
              <a:schemeClr val="lt1"/>
            </a:contourClr>
          </a:sp3d>
        </c:spPr>
      </c:pivotFmt>
      <c:pivotFmt>
        <c:idx val="212"/>
        <c:spPr>
          <a:solidFill>
            <a:schemeClr val="accent1"/>
          </a:solidFill>
          <a:ln w="25400">
            <a:solidFill>
              <a:schemeClr val="lt1"/>
            </a:solidFill>
          </a:ln>
          <a:effectLst/>
          <a:sp3d contourW="25400">
            <a:contourClr>
              <a:schemeClr val="lt1"/>
            </a:contourClr>
          </a:sp3d>
        </c:spPr>
      </c:pivotFmt>
      <c:pivotFmt>
        <c:idx val="213"/>
        <c:spPr>
          <a:solidFill>
            <a:schemeClr val="accent1"/>
          </a:solidFill>
          <a:ln w="25400">
            <a:solidFill>
              <a:schemeClr val="lt1"/>
            </a:solidFill>
          </a:ln>
          <a:effectLst/>
          <a:sp3d contourW="25400">
            <a:contourClr>
              <a:schemeClr val="lt1"/>
            </a:contourClr>
          </a:sp3d>
        </c:spPr>
      </c:pivotFmt>
      <c:pivotFmt>
        <c:idx val="214"/>
        <c:spPr>
          <a:solidFill>
            <a:schemeClr val="accent1"/>
          </a:solidFill>
          <a:ln w="25400">
            <a:solidFill>
              <a:schemeClr val="lt1"/>
            </a:solidFill>
          </a:ln>
          <a:effectLst/>
          <a:sp3d contourW="25400">
            <a:contourClr>
              <a:schemeClr val="lt1"/>
            </a:contourClr>
          </a:sp3d>
        </c:spPr>
      </c:pivotFmt>
      <c:pivotFmt>
        <c:idx val="215"/>
        <c:spPr>
          <a:solidFill>
            <a:schemeClr val="accent1"/>
          </a:solidFill>
          <a:ln w="25400">
            <a:solidFill>
              <a:schemeClr val="lt1"/>
            </a:solidFill>
          </a:ln>
          <a:effectLst/>
          <a:sp3d contourW="25400">
            <a:contourClr>
              <a:schemeClr val="lt1"/>
            </a:contourClr>
          </a:sp3d>
        </c:spPr>
      </c:pivotFmt>
      <c:pivotFmt>
        <c:idx val="216"/>
        <c:spPr>
          <a:solidFill>
            <a:schemeClr val="accent1"/>
          </a:solidFill>
          <a:ln w="25400">
            <a:solidFill>
              <a:schemeClr val="lt1"/>
            </a:solidFill>
          </a:ln>
          <a:effectLst/>
          <a:sp3d contourW="25400">
            <a:contourClr>
              <a:schemeClr val="lt1"/>
            </a:contourClr>
          </a:sp3d>
        </c:spPr>
      </c:pivotFmt>
      <c:pivotFmt>
        <c:idx val="217"/>
        <c:spPr>
          <a:solidFill>
            <a:schemeClr val="accent1"/>
          </a:solidFill>
          <a:ln w="25400">
            <a:solidFill>
              <a:schemeClr val="lt1"/>
            </a:solidFill>
          </a:ln>
          <a:effectLst/>
          <a:sp3d contourW="25400">
            <a:contourClr>
              <a:schemeClr val="lt1"/>
            </a:contourClr>
          </a:sp3d>
        </c:spPr>
      </c:pivotFmt>
      <c:pivotFmt>
        <c:idx val="218"/>
        <c:spPr>
          <a:solidFill>
            <a:schemeClr val="accent1"/>
          </a:solidFill>
          <a:ln w="25400">
            <a:solidFill>
              <a:schemeClr val="lt1"/>
            </a:solidFill>
          </a:ln>
          <a:effectLst/>
          <a:sp3d contourW="25400">
            <a:contourClr>
              <a:schemeClr val="lt1"/>
            </a:contourClr>
          </a:sp3d>
        </c:spPr>
      </c:pivotFmt>
      <c:pivotFmt>
        <c:idx val="219"/>
        <c:spPr>
          <a:solidFill>
            <a:schemeClr val="accent1"/>
          </a:solidFill>
          <a:ln w="25400">
            <a:solidFill>
              <a:schemeClr val="lt1"/>
            </a:solidFill>
          </a:ln>
          <a:effectLst/>
          <a:sp3d contourW="25400">
            <a:contourClr>
              <a:schemeClr val="lt1"/>
            </a:contourClr>
          </a:sp3d>
        </c:spPr>
      </c:pivotFmt>
      <c:pivotFmt>
        <c:idx val="220"/>
        <c:spPr>
          <a:solidFill>
            <a:schemeClr val="accent1"/>
          </a:solidFill>
          <a:ln w="25400">
            <a:solidFill>
              <a:schemeClr val="lt1"/>
            </a:solidFill>
          </a:ln>
          <a:effectLst/>
          <a:sp3d contourW="25400">
            <a:contourClr>
              <a:schemeClr val="lt1"/>
            </a:contourClr>
          </a:sp3d>
        </c:spPr>
      </c:pivotFmt>
      <c:pivotFmt>
        <c:idx val="221"/>
        <c:spPr>
          <a:solidFill>
            <a:schemeClr val="accent1"/>
          </a:solidFill>
          <a:ln w="25400">
            <a:solidFill>
              <a:schemeClr val="lt1"/>
            </a:solidFill>
          </a:ln>
          <a:effectLst/>
          <a:sp3d contourW="25400">
            <a:contourClr>
              <a:schemeClr val="lt1"/>
            </a:contourClr>
          </a:sp3d>
        </c:spPr>
      </c:pivotFmt>
      <c:pivotFmt>
        <c:idx val="222"/>
        <c:spPr>
          <a:solidFill>
            <a:schemeClr val="accent1"/>
          </a:solidFill>
          <a:ln w="25400">
            <a:solidFill>
              <a:schemeClr val="lt1"/>
            </a:solidFill>
          </a:ln>
          <a:effectLst/>
          <a:sp3d contourW="25400">
            <a:contourClr>
              <a:schemeClr val="lt1"/>
            </a:contourClr>
          </a:sp3d>
        </c:spPr>
      </c:pivotFmt>
      <c:pivotFmt>
        <c:idx val="223"/>
        <c:spPr>
          <a:solidFill>
            <a:schemeClr val="accent1"/>
          </a:solidFill>
          <a:ln w="25400">
            <a:solidFill>
              <a:schemeClr val="lt1"/>
            </a:solidFill>
          </a:ln>
          <a:effectLst/>
          <a:sp3d contourW="25400">
            <a:contourClr>
              <a:schemeClr val="lt1"/>
            </a:contourClr>
          </a:sp3d>
        </c:spPr>
      </c:pivotFmt>
      <c:pivotFmt>
        <c:idx val="224"/>
        <c:spPr>
          <a:solidFill>
            <a:schemeClr val="accent1"/>
          </a:solidFill>
          <a:ln w="25400">
            <a:solidFill>
              <a:schemeClr val="lt1"/>
            </a:solidFill>
          </a:ln>
          <a:effectLst/>
          <a:sp3d contourW="25400">
            <a:contourClr>
              <a:schemeClr val="lt1"/>
            </a:contourClr>
          </a:sp3d>
        </c:spPr>
      </c:pivotFmt>
      <c:pivotFmt>
        <c:idx val="225"/>
        <c:spPr>
          <a:solidFill>
            <a:schemeClr val="accent1"/>
          </a:solidFill>
          <a:ln w="25400">
            <a:solidFill>
              <a:schemeClr val="lt1"/>
            </a:solidFill>
          </a:ln>
          <a:effectLst/>
          <a:sp3d contourW="25400">
            <a:contourClr>
              <a:schemeClr val="lt1"/>
            </a:contourClr>
          </a:sp3d>
        </c:spPr>
      </c:pivotFmt>
      <c:pivotFmt>
        <c:idx val="226"/>
        <c:spPr>
          <a:solidFill>
            <a:schemeClr val="accent1"/>
          </a:solidFill>
          <a:ln w="25400">
            <a:solidFill>
              <a:schemeClr val="lt1"/>
            </a:solidFill>
          </a:ln>
          <a:effectLst/>
          <a:sp3d contourW="25400">
            <a:contourClr>
              <a:schemeClr val="lt1"/>
            </a:contourClr>
          </a:sp3d>
        </c:spPr>
      </c:pivotFmt>
      <c:pivotFmt>
        <c:idx val="227"/>
        <c:spPr>
          <a:solidFill>
            <a:schemeClr val="accent1"/>
          </a:solidFill>
          <a:ln w="25400">
            <a:solidFill>
              <a:schemeClr val="lt1"/>
            </a:solidFill>
          </a:ln>
          <a:effectLst/>
          <a:sp3d contourW="25400">
            <a:contourClr>
              <a:schemeClr val="lt1"/>
            </a:contourClr>
          </a:sp3d>
        </c:spPr>
      </c:pivotFmt>
      <c:pivotFmt>
        <c:idx val="228"/>
        <c:spPr>
          <a:solidFill>
            <a:schemeClr val="accent1"/>
          </a:solidFill>
          <a:ln w="25400">
            <a:solidFill>
              <a:schemeClr val="lt1"/>
            </a:solidFill>
          </a:ln>
          <a:effectLst/>
          <a:sp3d contourW="25400">
            <a:contourClr>
              <a:schemeClr val="lt1"/>
            </a:contourClr>
          </a:sp3d>
        </c:spPr>
      </c:pivotFmt>
      <c:pivotFmt>
        <c:idx val="229"/>
        <c:spPr>
          <a:solidFill>
            <a:schemeClr val="accent1"/>
          </a:solidFill>
          <a:ln w="25400">
            <a:solidFill>
              <a:schemeClr val="lt1"/>
            </a:solidFill>
          </a:ln>
          <a:effectLst/>
          <a:sp3d contourW="25400">
            <a:contourClr>
              <a:schemeClr val="lt1"/>
            </a:contourClr>
          </a:sp3d>
        </c:spPr>
      </c:pivotFmt>
      <c:pivotFmt>
        <c:idx val="230"/>
        <c:spPr>
          <a:solidFill>
            <a:schemeClr val="accent1"/>
          </a:solidFill>
          <a:ln w="25400">
            <a:solidFill>
              <a:schemeClr val="lt1"/>
            </a:solidFill>
          </a:ln>
          <a:effectLst/>
          <a:sp3d contourW="25400">
            <a:contourClr>
              <a:schemeClr val="lt1"/>
            </a:contourClr>
          </a:sp3d>
        </c:spPr>
      </c:pivotFmt>
      <c:pivotFmt>
        <c:idx val="231"/>
        <c:spPr>
          <a:solidFill>
            <a:schemeClr val="accent1"/>
          </a:solidFill>
          <a:ln w="25400">
            <a:solidFill>
              <a:schemeClr val="lt1"/>
            </a:solidFill>
          </a:ln>
          <a:effectLst/>
          <a:sp3d contourW="25400">
            <a:contourClr>
              <a:schemeClr val="lt1"/>
            </a:contourClr>
          </a:sp3d>
        </c:spPr>
      </c:pivotFmt>
      <c:pivotFmt>
        <c:idx val="232"/>
        <c:spPr>
          <a:solidFill>
            <a:schemeClr val="accent1"/>
          </a:solidFill>
          <a:ln w="25400">
            <a:solidFill>
              <a:schemeClr val="lt1"/>
            </a:solidFill>
          </a:ln>
          <a:effectLst/>
          <a:sp3d contourW="25400">
            <a:contourClr>
              <a:schemeClr val="lt1"/>
            </a:contourClr>
          </a:sp3d>
        </c:spPr>
      </c:pivotFmt>
      <c:pivotFmt>
        <c:idx val="233"/>
        <c:spPr>
          <a:solidFill>
            <a:schemeClr val="accent1"/>
          </a:solidFill>
          <a:ln w="25400">
            <a:solidFill>
              <a:schemeClr val="lt1"/>
            </a:solidFill>
          </a:ln>
          <a:effectLst/>
          <a:sp3d contourW="25400">
            <a:contourClr>
              <a:schemeClr val="lt1"/>
            </a:contourClr>
          </a:sp3d>
        </c:spPr>
      </c:pivotFmt>
      <c:pivotFmt>
        <c:idx val="234"/>
        <c:spPr>
          <a:solidFill>
            <a:schemeClr val="accent1"/>
          </a:solidFill>
          <a:ln w="25400">
            <a:solidFill>
              <a:schemeClr val="lt1"/>
            </a:solidFill>
          </a:ln>
          <a:effectLst/>
          <a:sp3d contourW="25400">
            <a:contourClr>
              <a:schemeClr val="lt1"/>
            </a:contourClr>
          </a:sp3d>
        </c:spPr>
      </c:pivotFmt>
      <c:pivotFmt>
        <c:idx val="235"/>
        <c:spPr>
          <a:solidFill>
            <a:schemeClr val="accent1"/>
          </a:solidFill>
          <a:ln w="25400">
            <a:solidFill>
              <a:schemeClr val="lt1"/>
            </a:solidFill>
          </a:ln>
          <a:effectLst/>
          <a:sp3d contourW="25400">
            <a:contourClr>
              <a:schemeClr val="lt1"/>
            </a:contourClr>
          </a:sp3d>
        </c:spPr>
      </c:pivotFmt>
      <c:pivotFmt>
        <c:idx val="236"/>
        <c:spPr>
          <a:solidFill>
            <a:schemeClr val="accent1"/>
          </a:solidFill>
          <a:ln w="25400">
            <a:solidFill>
              <a:schemeClr val="lt1"/>
            </a:solidFill>
          </a:ln>
          <a:effectLst/>
          <a:sp3d contourW="25400">
            <a:contourClr>
              <a:schemeClr val="lt1"/>
            </a:contourClr>
          </a:sp3d>
        </c:spPr>
      </c:pivotFmt>
      <c:pivotFmt>
        <c:idx val="237"/>
        <c:spPr>
          <a:solidFill>
            <a:schemeClr val="accent1"/>
          </a:solidFill>
          <a:ln w="25400">
            <a:solidFill>
              <a:schemeClr val="lt1"/>
            </a:solidFill>
          </a:ln>
          <a:effectLst/>
          <a:sp3d contourW="25400">
            <a:contourClr>
              <a:schemeClr val="lt1"/>
            </a:contourClr>
          </a:sp3d>
        </c:spPr>
      </c:pivotFmt>
      <c:pivotFmt>
        <c:idx val="238"/>
        <c:spPr>
          <a:solidFill>
            <a:schemeClr val="accent1"/>
          </a:solidFill>
          <a:ln w="25400">
            <a:solidFill>
              <a:schemeClr val="lt1"/>
            </a:solidFill>
          </a:ln>
          <a:effectLst/>
          <a:sp3d contourW="25400">
            <a:contourClr>
              <a:schemeClr val="lt1"/>
            </a:contourClr>
          </a:sp3d>
        </c:spPr>
      </c:pivotFmt>
      <c:pivotFmt>
        <c:idx val="239"/>
        <c:spPr>
          <a:solidFill>
            <a:schemeClr val="accent1"/>
          </a:solidFill>
          <a:ln w="25400">
            <a:solidFill>
              <a:schemeClr val="lt1"/>
            </a:solidFill>
          </a:ln>
          <a:effectLst/>
          <a:sp3d contourW="25400">
            <a:contourClr>
              <a:schemeClr val="lt1"/>
            </a:contourClr>
          </a:sp3d>
        </c:spPr>
      </c:pivotFmt>
      <c:pivotFmt>
        <c:idx val="240"/>
        <c:spPr>
          <a:solidFill>
            <a:schemeClr val="accent1"/>
          </a:solidFill>
          <a:ln w="25400">
            <a:solidFill>
              <a:schemeClr val="lt1"/>
            </a:solidFill>
          </a:ln>
          <a:effectLst/>
          <a:sp3d contourW="25400">
            <a:contourClr>
              <a:schemeClr val="lt1"/>
            </a:contourClr>
          </a:sp3d>
        </c:spPr>
      </c:pivotFmt>
      <c:pivotFmt>
        <c:idx val="241"/>
        <c:spPr>
          <a:solidFill>
            <a:schemeClr val="accent1"/>
          </a:solidFill>
          <a:ln w="25400">
            <a:solidFill>
              <a:schemeClr val="lt1"/>
            </a:solidFill>
          </a:ln>
          <a:effectLst/>
          <a:sp3d contourW="25400">
            <a:contourClr>
              <a:schemeClr val="lt1"/>
            </a:contourClr>
          </a:sp3d>
        </c:spPr>
      </c:pivotFmt>
      <c:pivotFmt>
        <c:idx val="242"/>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3"/>
        <c:spPr>
          <a:solidFill>
            <a:schemeClr val="accent1"/>
          </a:solidFill>
          <a:ln w="25400">
            <a:solidFill>
              <a:schemeClr val="lt1"/>
            </a:solidFill>
          </a:ln>
          <a:effectLst/>
          <a:sp3d contourW="25400">
            <a:contourClr>
              <a:schemeClr val="lt1"/>
            </a:contourClr>
          </a:sp3d>
        </c:spPr>
      </c:pivotFmt>
      <c:pivotFmt>
        <c:idx val="244"/>
        <c:spPr>
          <a:solidFill>
            <a:schemeClr val="accent1"/>
          </a:solidFill>
          <a:ln w="25400">
            <a:solidFill>
              <a:schemeClr val="lt1"/>
            </a:solidFill>
          </a:ln>
          <a:effectLst/>
          <a:sp3d contourW="25400">
            <a:contourClr>
              <a:schemeClr val="lt1"/>
            </a:contourClr>
          </a:sp3d>
        </c:spPr>
      </c:pivotFmt>
      <c:pivotFmt>
        <c:idx val="245"/>
        <c:spPr>
          <a:solidFill>
            <a:schemeClr val="accent1"/>
          </a:solidFill>
          <a:ln w="25400">
            <a:solidFill>
              <a:schemeClr val="lt1"/>
            </a:solidFill>
          </a:ln>
          <a:effectLst/>
          <a:sp3d contourW="25400">
            <a:contourClr>
              <a:schemeClr val="lt1"/>
            </a:contourClr>
          </a:sp3d>
        </c:spPr>
      </c:pivotFmt>
      <c:pivotFmt>
        <c:idx val="246"/>
        <c:spPr>
          <a:solidFill>
            <a:schemeClr val="accent1"/>
          </a:solidFill>
          <a:ln w="25400">
            <a:solidFill>
              <a:schemeClr val="lt1"/>
            </a:solidFill>
          </a:ln>
          <a:effectLst/>
          <a:sp3d contourW="25400">
            <a:contourClr>
              <a:schemeClr val="lt1"/>
            </a:contourClr>
          </a:sp3d>
        </c:spPr>
      </c:pivotFmt>
      <c:pivotFmt>
        <c:idx val="247"/>
        <c:spPr>
          <a:solidFill>
            <a:schemeClr val="accent1"/>
          </a:solidFill>
          <a:ln w="25400">
            <a:solidFill>
              <a:schemeClr val="lt1"/>
            </a:solidFill>
          </a:ln>
          <a:effectLst/>
          <a:sp3d contourW="25400">
            <a:contourClr>
              <a:schemeClr val="lt1"/>
            </a:contourClr>
          </a:sp3d>
        </c:spPr>
      </c:pivotFmt>
      <c:pivotFmt>
        <c:idx val="248"/>
        <c:spPr>
          <a:solidFill>
            <a:schemeClr val="accent1"/>
          </a:solidFill>
          <a:ln w="25400">
            <a:solidFill>
              <a:schemeClr val="lt1"/>
            </a:solidFill>
          </a:ln>
          <a:effectLst/>
          <a:sp3d contourW="25400">
            <a:contourClr>
              <a:schemeClr val="lt1"/>
            </a:contourClr>
          </a:sp3d>
        </c:spPr>
      </c:pivotFmt>
      <c:pivotFmt>
        <c:idx val="249"/>
        <c:spPr>
          <a:solidFill>
            <a:schemeClr val="accent1"/>
          </a:solidFill>
          <a:ln w="25400">
            <a:solidFill>
              <a:schemeClr val="lt1"/>
            </a:solidFill>
          </a:ln>
          <a:effectLst/>
          <a:sp3d contourW="25400">
            <a:contourClr>
              <a:schemeClr val="lt1"/>
            </a:contourClr>
          </a:sp3d>
        </c:spPr>
      </c:pivotFmt>
      <c:pivotFmt>
        <c:idx val="250"/>
        <c:spPr>
          <a:solidFill>
            <a:schemeClr val="accent1"/>
          </a:solidFill>
          <a:ln w="25400">
            <a:solidFill>
              <a:schemeClr val="lt1"/>
            </a:solidFill>
          </a:ln>
          <a:effectLst/>
          <a:sp3d contourW="25400">
            <a:contourClr>
              <a:schemeClr val="lt1"/>
            </a:contourClr>
          </a:sp3d>
        </c:spPr>
      </c:pivotFmt>
      <c:pivotFmt>
        <c:idx val="251"/>
        <c:spPr>
          <a:solidFill>
            <a:schemeClr val="accent1"/>
          </a:solidFill>
          <a:ln w="25400">
            <a:solidFill>
              <a:schemeClr val="lt1"/>
            </a:solidFill>
          </a:ln>
          <a:effectLst/>
          <a:sp3d contourW="25400">
            <a:contourClr>
              <a:schemeClr val="lt1"/>
            </a:contourClr>
          </a:sp3d>
        </c:spPr>
      </c:pivotFmt>
      <c:pivotFmt>
        <c:idx val="252"/>
        <c:spPr>
          <a:solidFill>
            <a:schemeClr val="accent1"/>
          </a:solidFill>
          <a:ln w="25400">
            <a:solidFill>
              <a:schemeClr val="lt1"/>
            </a:solidFill>
          </a:ln>
          <a:effectLst/>
          <a:sp3d contourW="25400">
            <a:contourClr>
              <a:schemeClr val="lt1"/>
            </a:contourClr>
          </a:sp3d>
        </c:spPr>
      </c:pivotFmt>
      <c:pivotFmt>
        <c:idx val="253"/>
        <c:spPr>
          <a:solidFill>
            <a:schemeClr val="accent1"/>
          </a:solidFill>
          <a:ln w="25400">
            <a:solidFill>
              <a:schemeClr val="lt1"/>
            </a:solidFill>
          </a:ln>
          <a:effectLst/>
          <a:sp3d contourW="25400">
            <a:contourClr>
              <a:schemeClr val="lt1"/>
            </a:contourClr>
          </a:sp3d>
        </c:spPr>
      </c:pivotFmt>
      <c:pivotFmt>
        <c:idx val="254"/>
        <c:spPr>
          <a:solidFill>
            <a:schemeClr val="accent1"/>
          </a:solidFill>
          <a:ln w="25400">
            <a:solidFill>
              <a:schemeClr val="lt1"/>
            </a:solidFill>
          </a:ln>
          <a:effectLst/>
          <a:sp3d contourW="25400">
            <a:contourClr>
              <a:schemeClr val="lt1"/>
            </a:contourClr>
          </a:sp3d>
        </c:spPr>
      </c:pivotFmt>
      <c:pivotFmt>
        <c:idx val="255"/>
        <c:spPr>
          <a:solidFill>
            <a:schemeClr val="accent1"/>
          </a:solidFill>
          <a:ln w="25400">
            <a:solidFill>
              <a:schemeClr val="lt1"/>
            </a:solidFill>
          </a:ln>
          <a:effectLst/>
          <a:sp3d contourW="25400">
            <a:contourClr>
              <a:schemeClr val="lt1"/>
            </a:contourClr>
          </a:sp3d>
        </c:spPr>
      </c:pivotFmt>
      <c:pivotFmt>
        <c:idx val="256"/>
        <c:spPr>
          <a:solidFill>
            <a:schemeClr val="accent1"/>
          </a:solidFill>
          <a:ln w="25400">
            <a:solidFill>
              <a:schemeClr val="lt1"/>
            </a:solidFill>
          </a:ln>
          <a:effectLst/>
          <a:sp3d contourW="25400">
            <a:contourClr>
              <a:schemeClr val="lt1"/>
            </a:contourClr>
          </a:sp3d>
        </c:spPr>
      </c:pivotFmt>
      <c:pivotFmt>
        <c:idx val="257"/>
        <c:spPr>
          <a:solidFill>
            <a:schemeClr val="accent1"/>
          </a:solidFill>
          <a:ln w="25400">
            <a:solidFill>
              <a:schemeClr val="lt1"/>
            </a:solidFill>
          </a:ln>
          <a:effectLst/>
          <a:sp3d contourW="25400">
            <a:contourClr>
              <a:schemeClr val="lt1"/>
            </a:contourClr>
          </a:sp3d>
        </c:spPr>
      </c:pivotFmt>
      <c:pivotFmt>
        <c:idx val="258"/>
        <c:spPr>
          <a:solidFill>
            <a:schemeClr val="accent1"/>
          </a:solidFill>
          <a:ln w="25400">
            <a:solidFill>
              <a:schemeClr val="lt1"/>
            </a:solidFill>
          </a:ln>
          <a:effectLst/>
          <a:sp3d contourW="25400">
            <a:contourClr>
              <a:schemeClr val="lt1"/>
            </a:contourClr>
          </a:sp3d>
        </c:spPr>
      </c:pivotFmt>
      <c:pivotFmt>
        <c:idx val="259"/>
        <c:spPr>
          <a:solidFill>
            <a:schemeClr val="accent1"/>
          </a:solidFill>
          <a:ln w="25400">
            <a:solidFill>
              <a:schemeClr val="lt1"/>
            </a:solidFill>
          </a:ln>
          <a:effectLst/>
          <a:sp3d contourW="25400">
            <a:contourClr>
              <a:schemeClr val="lt1"/>
            </a:contourClr>
          </a:sp3d>
        </c:spPr>
      </c:pivotFmt>
      <c:pivotFmt>
        <c:idx val="260"/>
        <c:spPr>
          <a:solidFill>
            <a:schemeClr val="accent1"/>
          </a:solidFill>
          <a:ln w="25400">
            <a:solidFill>
              <a:schemeClr val="lt1"/>
            </a:solidFill>
          </a:ln>
          <a:effectLst/>
          <a:sp3d contourW="25400">
            <a:contourClr>
              <a:schemeClr val="lt1"/>
            </a:contourClr>
          </a:sp3d>
        </c:spPr>
      </c:pivotFmt>
      <c:pivotFmt>
        <c:idx val="261"/>
        <c:spPr>
          <a:solidFill>
            <a:schemeClr val="accent1"/>
          </a:solidFill>
          <a:ln w="25400">
            <a:solidFill>
              <a:schemeClr val="lt1"/>
            </a:solidFill>
          </a:ln>
          <a:effectLst/>
          <a:sp3d contourW="25400">
            <a:contourClr>
              <a:schemeClr val="lt1"/>
            </a:contourClr>
          </a:sp3d>
        </c:spPr>
      </c:pivotFmt>
      <c:pivotFmt>
        <c:idx val="262"/>
        <c:spPr>
          <a:solidFill>
            <a:schemeClr val="accent1"/>
          </a:solidFill>
          <a:ln w="25400">
            <a:solidFill>
              <a:schemeClr val="lt1"/>
            </a:solidFill>
          </a:ln>
          <a:effectLst/>
          <a:sp3d contourW="25400">
            <a:contourClr>
              <a:schemeClr val="lt1"/>
            </a:contourClr>
          </a:sp3d>
        </c:spPr>
      </c:pivotFmt>
      <c:pivotFmt>
        <c:idx val="263"/>
        <c:spPr>
          <a:solidFill>
            <a:schemeClr val="accent1"/>
          </a:solidFill>
          <a:ln w="25400">
            <a:solidFill>
              <a:schemeClr val="lt1"/>
            </a:solidFill>
          </a:ln>
          <a:effectLst/>
          <a:sp3d contourW="25400">
            <a:contourClr>
              <a:schemeClr val="lt1"/>
            </a:contourClr>
          </a:sp3d>
        </c:spPr>
      </c:pivotFmt>
      <c:pivotFmt>
        <c:idx val="264"/>
        <c:spPr>
          <a:solidFill>
            <a:schemeClr val="accent1"/>
          </a:solidFill>
          <a:ln w="25400">
            <a:solidFill>
              <a:schemeClr val="lt1"/>
            </a:solidFill>
          </a:ln>
          <a:effectLst/>
          <a:sp3d contourW="25400">
            <a:contourClr>
              <a:schemeClr val="lt1"/>
            </a:contourClr>
          </a:sp3d>
        </c:spPr>
      </c:pivotFmt>
      <c:pivotFmt>
        <c:idx val="265"/>
        <c:spPr>
          <a:solidFill>
            <a:schemeClr val="accent1"/>
          </a:solidFill>
          <a:ln w="25400">
            <a:solidFill>
              <a:schemeClr val="lt1"/>
            </a:solidFill>
          </a:ln>
          <a:effectLst/>
          <a:sp3d contourW="25400">
            <a:contourClr>
              <a:schemeClr val="lt1"/>
            </a:contourClr>
          </a:sp3d>
        </c:spPr>
      </c:pivotFmt>
      <c:pivotFmt>
        <c:idx val="266"/>
        <c:spPr>
          <a:solidFill>
            <a:schemeClr val="accent1"/>
          </a:solidFill>
          <a:ln w="25400">
            <a:solidFill>
              <a:schemeClr val="lt1"/>
            </a:solidFill>
          </a:ln>
          <a:effectLst/>
          <a:sp3d contourW="25400">
            <a:contourClr>
              <a:schemeClr val="lt1"/>
            </a:contourClr>
          </a:sp3d>
        </c:spPr>
      </c:pivotFmt>
      <c:pivotFmt>
        <c:idx val="267"/>
        <c:spPr>
          <a:solidFill>
            <a:schemeClr val="accent1"/>
          </a:solidFill>
          <a:ln w="25400">
            <a:solidFill>
              <a:schemeClr val="lt1"/>
            </a:solidFill>
          </a:ln>
          <a:effectLst/>
          <a:sp3d contourW="25400">
            <a:contourClr>
              <a:schemeClr val="lt1"/>
            </a:contourClr>
          </a:sp3d>
        </c:spPr>
      </c:pivotFmt>
      <c:pivotFmt>
        <c:idx val="268"/>
        <c:spPr>
          <a:solidFill>
            <a:schemeClr val="accent1"/>
          </a:solidFill>
          <a:ln w="25400">
            <a:solidFill>
              <a:schemeClr val="lt1"/>
            </a:solidFill>
          </a:ln>
          <a:effectLst/>
          <a:sp3d contourW="25400">
            <a:contourClr>
              <a:schemeClr val="lt1"/>
            </a:contourClr>
          </a:sp3d>
        </c:spPr>
      </c:pivotFmt>
      <c:pivotFmt>
        <c:idx val="269"/>
        <c:spPr>
          <a:solidFill>
            <a:schemeClr val="accent1"/>
          </a:solidFill>
          <a:ln w="25400">
            <a:solidFill>
              <a:schemeClr val="lt1"/>
            </a:solidFill>
          </a:ln>
          <a:effectLst/>
          <a:sp3d contourW="25400">
            <a:contourClr>
              <a:schemeClr val="lt1"/>
            </a:contourClr>
          </a:sp3d>
        </c:spPr>
      </c:pivotFmt>
      <c:pivotFmt>
        <c:idx val="270"/>
        <c:spPr>
          <a:solidFill>
            <a:schemeClr val="accent1"/>
          </a:solidFill>
          <a:ln w="25400">
            <a:solidFill>
              <a:schemeClr val="lt1"/>
            </a:solidFill>
          </a:ln>
          <a:effectLst/>
          <a:sp3d contourW="25400">
            <a:contourClr>
              <a:schemeClr val="lt1"/>
            </a:contourClr>
          </a:sp3d>
        </c:spPr>
      </c:pivotFmt>
      <c:pivotFmt>
        <c:idx val="271"/>
        <c:spPr>
          <a:solidFill>
            <a:schemeClr val="accent1"/>
          </a:solidFill>
          <a:ln w="25400">
            <a:solidFill>
              <a:schemeClr val="lt1"/>
            </a:solidFill>
          </a:ln>
          <a:effectLst/>
          <a:sp3d contourW="25400">
            <a:contourClr>
              <a:schemeClr val="lt1"/>
            </a:contourClr>
          </a:sp3d>
        </c:spPr>
      </c:pivotFmt>
      <c:pivotFmt>
        <c:idx val="272"/>
        <c:spPr>
          <a:solidFill>
            <a:schemeClr val="accent1"/>
          </a:solidFill>
          <a:ln w="25400">
            <a:solidFill>
              <a:schemeClr val="lt1"/>
            </a:solidFill>
          </a:ln>
          <a:effectLst/>
          <a:sp3d contourW="25400">
            <a:contourClr>
              <a:schemeClr val="lt1"/>
            </a:contourClr>
          </a:sp3d>
        </c:spPr>
      </c:pivotFmt>
      <c:pivotFmt>
        <c:idx val="273"/>
        <c:spPr>
          <a:solidFill>
            <a:schemeClr val="accent1"/>
          </a:solidFill>
          <a:ln w="25400">
            <a:solidFill>
              <a:schemeClr val="lt1"/>
            </a:solidFill>
          </a:ln>
          <a:effectLst/>
          <a:sp3d contourW="25400">
            <a:contourClr>
              <a:schemeClr val="lt1"/>
            </a:contourClr>
          </a:sp3d>
        </c:spPr>
      </c:pivotFmt>
      <c:pivotFmt>
        <c:idx val="274"/>
        <c:spPr>
          <a:solidFill>
            <a:schemeClr val="accent1"/>
          </a:solidFill>
          <a:ln w="25400">
            <a:solidFill>
              <a:schemeClr val="lt1"/>
            </a:solidFill>
          </a:ln>
          <a:effectLst/>
          <a:sp3d contourW="25400">
            <a:contourClr>
              <a:schemeClr val="lt1"/>
            </a:contourClr>
          </a:sp3d>
        </c:spPr>
      </c:pivotFmt>
      <c:pivotFmt>
        <c:idx val="275"/>
        <c:spPr>
          <a:solidFill>
            <a:schemeClr val="accent1"/>
          </a:solidFill>
          <a:ln w="25400">
            <a:solidFill>
              <a:schemeClr val="lt1"/>
            </a:solidFill>
          </a:ln>
          <a:effectLst/>
          <a:sp3d contourW="25400">
            <a:contourClr>
              <a:schemeClr val="lt1"/>
            </a:contourClr>
          </a:sp3d>
        </c:spPr>
      </c:pivotFmt>
      <c:pivotFmt>
        <c:idx val="276"/>
        <c:spPr>
          <a:solidFill>
            <a:schemeClr val="accent1"/>
          </a:solidFill>
          <a:ln w="25400">
            <a:solidFill>
              <a:schemeClr val="lt1"/>
            </a:solidFill>
          </a:ln>
          <a:effectLst/>
          <a:sp3d contourW="25400">
            <a:contourClr>
              <a:schemeClr val="lt1"/>
            </a:contourClr>
          </a:sp3d>
        </c:spPr>
      </c:pivotFmt>
      <c:pivotFmt>
        <c:idx val="277"/>
        <c:spPr>
          <a:solidFill>
            <a:schemeClr val="accent1"/>
          </a:solidFill>
          <a:ln w="25400">
            <a:solidFill>
              <a:schemeClr val="lt1"/>
            </a:solidFill>
          </a:ln>
          <a:effectLst/>
          <a:sp3d contourW="25400">
            <a:contourClr>
              <a:schemeClr val="lt1"/>
            </a:contourClr>
          </a:sp3d>
        </c:spPr>
      </c:pivotFmt>
      <c:pivotFmt>
        <c:idx val="278"/>
        <c:spPr>
          <a:solidFill>
            <a:schemeClr val="accent1"/>
          </a:solidFill>
          <a:ln w="25400">
            <a:solidFill>
              <a:schemeClr val="lt1"/>
            </a:solidFill>
          </a:ln>
          <a:effectLst/>
          <a:sp3d contourW="25400">
            <a:contourClr>
              <a:schemeClr val="lt1"/>
            </a:contourClr>
          </a:sp3d>
        </c:spPr>
      </c:pivotFmt>
      <c:pivotFmt>
        <c:idx val="279"/>
        <c:spPr>
          <a:solidFill>
            <a:schemeClr val="accent1"/>
          </a:solidFill>
          <a:ln w="25400">
            <a:solidFill>
              <a:schemeClr val="lt1"/>
            </a:solidFill>
          </a:ln>
          <a:effectLst/>
          <a:sp3d contourW="25400">
            <a:contourClr>
              <a:schemeClr val="lt1"/>
            </a:contourClr>
          </a:sp3d>
        </c:spPr>
      </c:pivotFmt>
      <c:pivotFmt>
        <c:idx val="280"/>
        <c:spPr>
          <a:solidFill>
            <a:schemeClr val="accent1"/>
          </a:solidFill>
          <a:ln w="25400">
            <a:solidFill>
              <a:schemeClr val="lt1"/>
            </a:solidFill>
          </a:ln>
          <a:effectLst/>
          <a:sp3d contourW="25400">
            <a:contourClr>
              <a:schemeClr val="lt1"/>
            </a:contourClr>
          </a:sp3d>
        </c:spPr>
      </c:pivotFmt>
      <c:pivotFmt>
        <c:idx val="281"/>
        <c:spPr>
          <a:solidFill>
            <a:schemeClr val="accent1"/>
          </a:solidFill>
          <a:ln w="25400">
            <a:solidFill>
              <a:schemeClr val="lt1"/>
            </a:solidFill>
          </a:ln>
          <a:effectLst/>
          <a:sp3d contourW="25400">
            <a:contourClr>
              <a:schemeClr val="lt1"/>
            </a:contourClr>
          </a:sp3d>
        </c:spPr>
      </c:pivotFmt>
      <c:pivotFmt>
        <c:idx val="282"/>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3"/>
        <c:spPr>
          <a:solidFill>
            <a:schemeClr val="accent1"/>
          </a:solidFill>
          <a:ln w="25400">
            <a:solidFill>
              <a:schemeClr val="lt1"/>
            </a:solidFill>
          </a:ln>
          <a:effectLst/>
          <a:sp3d contourW="25400">
            <a:contourClr>
              <a:schemeClr val="lt1"/>
            </a:contourClr>
          </a:sp3d>
        </c:spPr>
      </c:pivotFmt>
      <c:pivotFmt>
        <c:idx val="284"/>
        <c:spPr>
          <a:solidFill>
            <a:schemeClr val="accent1"/>
          </a:solidFill>
          <a:ln w="25400">
            <a:solidFill>
              <a:schemeClr val="lt1"/>
            </a:solidFill>
          </a:ln>
          <a:effectLst/>
          <a:sp3d contourW="25400">
            <a:contourClr>
              <a:schemeClr val="lt1"/>
            </a:contourClr>
          </a:sp3d>
        </c:spPr>
      </c:pivotFmt>
      <c:pivotFmt>
        <c:idx val="285"/>
        <c:spPr>
          <a:solidFill>
            <a:schemeClr val="accent1"/>
          </a:solidFill>
          <a:ln w="25400">
            <a:solidFill>
              <a:schemeClr val="lt1"/>
            </a:solidFill>
          </a:ln>
          <a:effectLst/>
          <a:sp3d contourW="25400">
            <a:contourClr>
              <a:schemeClr val="lt1"/>
            </a:contourClr>
          </a:sp3d>
        </c:spPr>
      </c:pivotFmt>
      <c:pivotFmt>
        <c:idx val="286"/>
        <c:spPr>
          <a:solidFill>
            <a:schemeClr val="accent1"/>
          </a:solidFill>
          <a:ln w="25400">
            <a:solidFill>
              <a:schemeClr val="lt1"/>
            </a:solidFill>
          </a:ln>
          <a:effectLst/>
          <a:sp3d contourW="25400">
            <a:contourClr>
              <a:schemeClr val="lt1"/>
            </a:contourClr>
          </a:sp3d>
        </c:spPr>
      </c:pivotFmt>
      <c:pivotFmt>
        <c:idx val="287"/>
        <c:spPr>
          <a:solidFill>
            <a:schemeClr val="accent1"/>
          </a:solidFill>
          <a:ln w="25400">
            <a:solidFill>
              <a:schemeClr val="lt1"/>
            </a:solidFill>
          </a:ln>
          <a:effectLst/>
          <a:sp3d contourW="25400">
            <a:contourClr>
              <a:schemeClr val="lt1"/>
            </a:contourClr>
          </a:sp3d>
        </c:spPr>
      </c:pivotFmt>
      <c:pivotFmt>
        <c:idx val="288"/>
        <c:spPr>
          <a:solidFill>
            <a:schemeClr val="accent1"/>
          </a:solidFill>
          <a:ln w="25400">
            <a:solidFill>
              <a:schemeClr val="lt1"/>
            </a:solidFill>
          </a:ln>
          <a:effectLst/>
          <a:sp3d contourW="25400">
            <a:contourClr>
              <a:schemeClr val="lt1"/>
            </a:contourClr>
          </a:sp3d>
        </c:spPr>
      </c:pivotFmt>
      <c:pivotFmt>
        <c:idx val="289"/>
        <c:spPr>
          <a:solidFill>
            <a:schemeClr val="accent1"/>
          </a:solidFill>
          <a:ln w="25400">
            <a:solidFill>
              <a:schemeClr val="lt1"/>
            </a:solidFill>
          </a:ln>
          <a:effectLst/>
          <a:sp3d contourW="25400">
            <a:contourClr>
              <a:schemeClr val="lt1"/>
            </a:contourClr>
          </a:sp3d>
        </c:spPr>
      </c:pivotFmt>
      <c:pivotFmt>
        <c:idx val="290"/>
        <c:spPr>
          <a:solidFill>
            <a:schemeClr val="accent1"/>
          </a:solidFill>
          <a:ln w="25400">
            <a:solidFill>
              <a:schemeClr val="lt1"/>
            </a:solidFill>
          </a:ln>
          <a:effectLst/>
          <a:sp3d contourW="25400">
            <a:contourClr>
              <a:schemeClr val="lt1"/>
            </a:contourClr>
          </a:sp3d>
        </c:spPr>
      </c:pivotFmt>
      <c:pivotFmt>
        <c:idx val="291"/>
        <c:spPr>
          <a:solidFill>
            <a:schemeClr val="accent1"/>
          </a:solidFill>
          <a:ln w="25400">
            <a:solidFill>
              <a:schemeClr val="lt1"/>
            </a:solidFill>
          </a:ln>
          <a:effectLst/>
          <a:sp3d contourW="25400">
            <a:contourClr>
              <a:schemeClr val="lt1"/>
            </a:contourClr>
          </a:sp3d>
        </c:spPr>
      </c:pivotFmt>
      <c:pivotFmt>
        <c:idx val="292"/>
        <c:spPr>
          <a:solidFill>
            <a:schemeClr val="accent1"/>
          </a:solidFill>
          <a:ln w="25400">
            <a:solidFill>
              <a:schemeClr val="lt1"/>
            </a:solidFill>
          </a:ln>
          <a:effectLst/>
          <a:sp3d contourW="25400">
            <a:contourClr>
              <a:schemeClr val="lt1"/>
            </a:contourClr>
          </a:sp3d>
        </c:spPr>
      </c:pivotFmt>
      <c:pivotFmt>
        <c:idx val="293"/>
        <c:spPr>
          <a:solidFill>
            <a:schemeClr val="accent1"/>
          </a:solidFill>
          <a:ln w="25400">
            <a:solidFill>
              <a:schemeClr val="lt1"/>
            </a:solidFill>
          </a:ln>
          <a:effectLst/>
          <a:sp3d contourW="25400">
            <a:contourClr>
              <a:schemeClr val="lt1"/>
            </a:contourClr>
          </a:sp3d>
        </c:spPr>
      </c:pivotFmt>
      <c:pivotFmt>
        <c:idx val="294"/>
        <c:spPr>
          <a:solidFill>
            <a:schemeClr val="accent1"/>
          </a:solidFill>
          <a:ln w="25400">
            <a:solidFill>
              <a:schemeClr val="lt1"/>
            </a:solidFill>
          </a:ln>
          <a:effectLst/>
          <a:sp3d contourW="25400">
            <a:contourClr>
              <a:schemeClr val="lt1"/>
            </a:contourClr>
          </a:sp3d>
        </c:spPr>
      </c:pivotFmt>
      <c:pivotFmt>
        <c:idx val="295"/>
        <c:spPr>
          <a:solidFill>
            <a:schemeClr val="accent1"/>
          </a:solidFill>
          <a:ln w="25400">
            <a:solidFill>
              <a:schemeClr val="lt1"/>
            </a:solidFill>
          </a:ln>
          <a:effectLst/>
          <a:sp3d contourW="25400">
            <a:contourClr>
              <a:schemeClr val="lt1"/>
            </a:contourClr>
          </a:sp3d>
        </c:spPr>
      </c:pivotFmt>
      <c:pivotFmt>
        <c:idx val="296"/>
        <c:spPr>
          <a:solidFill>
            <a:schemeClr val="accent1"/>
          </a:solidFill>
          <a:ln w="25400">
            <a:solidFill>
              <a:schemeClr val="lt1"/>
            </a:solidFill>
          </a:ln>
          <a:effectLst/>
          <a:sp3d contourW="25400">
            <a:contourClr>
              <a:schemeClr val="lt1"/>
            </a:contourClr>
          </a:sp3d>
        </c:spPr>
      </c:pivotFmt>
      <c:pivotFmt>
        <c:idx val="297"/>
        <c:spPr>
          <a:solidFill>
            <a:schemeClr val="accent1"/>
          </a:solidFill>
          <a:ln w="25400">
            <a:solidFill>
              <a:schemeClr val="lt1"/>
            </a:solidFill>
          </a:ln>
          <a:effectLst/>
          <a:sp3d contourW="25400">
            <a:contourClr>
              <a:schemeClr val="lt1"/>
            </a:contourClr>
          </a:sp3d>
        </c:spPr>
      </c:pivotFmt>
      <c:pivotFmt>
        <c:idx val="298"/>
        <c:spPr>
          <a:solidFill>
            <a:schemeClr val="accent1"/>
          </a:solidFill>
          <a:ln w="25400">
            <a:solidFill>
              <a:schemeClr val="lt1"/>
            </a:solidFill>
          </a:ln>
          <a:effectLst/>
          <a:sp3d contourW="25400">
            <a:contourClr>
              <a:schemeClr val="lt1"/>
            </a:contourClr>
          </a:sp3d>
        </c:spPr>
      </c:pivotFmt>
      <c:pivotFmt>
        <c:idx val="299"/>
        <c:spPr>
          <a:solidFill>
            <a:schemeClr val="accent1"/>
          </a:solidFill>
          <a:ln w="25400">
            <a:solidFill>
              <a:schemeClr val="lt1"/>
            </a:solidFill>
          </a:ln>
          <a:effectLst/>
          <a:sp3d contourW="25400">
            <a:contourClr>
              <a:schemeClr val="lt1"/>
            </a:contourClr>
          </a:sp3d>
        </c:spPr>
      </c:pivotFmt>
      <c:pivotFmt>
        <c:idx val="300"/>
        <c:spPr>
          <a:solidFill>
            <a:schemeClr val="accent1"/>
          </a:solidFill>
          <a:ln w="25400">
            <a:solidFill>
              <a:schemeClr val="lt1"/>
            </a:solidFill>
          </a:ln>
          <a:effectLst/>
          <a:sp3d contourW="25400">
            <a:contourClr>
              <a:schemeClr val="lt1"/>
            </a:contourClr>
          </a:sp3d>
        </c:spPr>
      </c:pivotFmt>
      <c:pivotFmt>
        <c:idx val="301"/>
        <c:spPr>
          <a:solidFill>
            <a:schemeClr val="accent1"/>
          </a:solidFill>
          <a:ln w="25400">
            <a:solidFill>
              <a:schemeClr val="lt1"/>
            </a:solidFill>
          </a:ln>
          <a:effectLst/>
          <a:sp3d contourW="25400">
            <a:contourClr>
              <a:schemeClr val="lt1"/>
            </a:contourClr>
          </a:sp3d>
        </c:spPr>
      </c:pivotFmt>
      <c:pivotFmt>
        <c:idx val="302"/>
        <c:spPr>
          <a:solidFill>
            <a:schemeClr val="accent1"/>
          </a:solidFill>
          <a:ln w="25400">
            <a:solidFill>
              <a:schemeClr val="lt1"/>
            </a:solidFill>
          </a:ln>
          <a:effectLst/>
          <a:sp3d contourW="25400">
            <a:contourClr>
              <a:schemeClr val="lt1"/>
            </a:contourClr>
          </a:sp3d>
        </c:spPr>
      </c:pivotFmt>
      <c:pivotFmt>
        <c:idx val="303"/>
        <c:spPr>
          <a:solidFill>
            <a:schemeClr val="accent1"/>
          </a:solidFill>
          <a:ln w="25400">
            <a:solidFill>
              <a:schemeClr val="lt1"/>
            </a:solidFill>
          </a:ln>
          <a:effectLst/>
          <a:sp3d contourW="25400">
            <a:contourClr>
              <a:schemeClr val="lt1"/>
            </a:contourClr>
          </a:sp3d>
        </c:spPr>
      </c:pivotFmt>
      <c:pivotFmt>
        <c:idx val="304"/>
        <c:spPr>
          <a:solidFill>
            <a:schemeClr val="accent1"/>
          </a:solidFill>
          <a:ln w="25400">
            <a:solidFill>
              <a:schemeClr val="lt1"/>
            </a:solidFill>
          </a:ln>
          <a:effectLst/>
          <a:sp3d contourW="25400">
            <a:contourClr>
              <a:schemeClr val="lt1"/>
            </a:contourClr>
          </a:sp3d>
        </c:spPr>
      </c:pivotFmt>
      <c:pivotFmt>
        <c:idx val="305"/>
        <c:spPr>
          <a:solidFill>
            <a:schemeClr val="accent1"/>
          </a:solidFill>
          <a:ln w="25400">
            <a:solidFill>
              <a:schemeClr val="lt1"/>
            </a:solidFill>
          </a:ln>
          <a:effectLst/>
          <a:sp3d contourW="25400">
            <a:contourClr>
              <a:schemeClr val="lt1"/>
            </a:contourClr>
          </a:sp3d>
        </c:spPr>
      </c:pivotFmt>
      <c:pivotFmt>
        <c:idx val="306"/>
        <c:spPr>
          <a:solidFill>
            <a:schemeClr val="accent1"/>
          </a:solidFill>
          <a:ln w="25400">
            <a:solidFill>
              <a:schemeClr val="lt1"/>
            </a:solidFill>
          </a:ln>
          <a:effectLst/>
          <a:sp3d contourW="25400">
            <a:contourClr>
              <a:schemeClr val="lt1"/>
            </a:contourClr>
          </a:sp3d>
        </c:spPr>
      </c:pivotFmt>
      <c:pivotFmt>
        <c:idx val="307"/>
        <c:spPr>
          <a:solidFill>
            <a:schemeClr val="accent1"/>
          </a:solidFill>
          <a:ln w="25400">
            <a:solidFill>
              <a:schemeClr val="lt1"/>
            </a:solidFill>
          </a:ln>
          <a:effectLst/>
          <a:sp3d contourW="25400">
            <a:contourClr>
              <a:schemeClr val="lt1"/>
            </a:contourClr>
          </a:sp3d>
        </c:spPr>
      </c:pivotFmt>
      <c:pivotFmt>
        <c:idx val="308"/>
        <c:spPr>
          <a:solidFill>
            <a:schemeClr val="accent1"/>
          </a:solidFill>
          <a:ln w="25400">
            <a:solidFill>
              <a:schemeClr val="lt1"/>
            </a:solidFill>
          </a:ln>
          <a:effectLst/>
          <a:sp3d contourW="25400">
            <a:contourClr>
              <a:schemeClr val="lt1"/>
            </a:contourClr>
          </a:sp3d>
        </c:spPr>
      </c:pivotFmt>
      <c:pivotFmt>
        <c:idx val="309"/>
        <c:spPr>
          <a:solidFill>
            <a:schemeClr val="accent1"/>
          </a:solidFill>
          <a:ln w="25400">
            <a:solidFill>
              <a:schemeClr val="lt1"/>
            </a:solidFill>
          </a:ln>
          <a:effectLst/>
          <a:sp3d contourW="25400">
            <a:contourClr>
              <a:schemeClr val="lt1"/>
            </a:contourClr>
          </a:sp3d>
        </c:spPr>
      </c:pivotFmt>
      <c:pivotFmt>
        <c:idx val="310"/>
        <c:spPr>
          <a:solidFill>
            <a:schemeClr val="accent1"/>
          </a:solidFill>
          <a:ln w="25400">
            <a:solidFill>
              <a:schemeClr val="lt1"/>
            </a:solidFill>
          </a:ln>
          <a:effectLst/>
          <a:sp3d contourW="25400">
            <a:contourClr>
              <a:schemeClr val="lt1"/>
            </a:contourClr>
          </a:sp3d>
        </c:spPr>
      </c:pivotFmt>
      <c:pivotFmt>
        <c:idx val="311"/>
        <c:spPr>
          <a:solidFill>
            <a:schemeClr val="accent1"/>
          </a:solidFill>
          <a:ln w="25400">
            <a:solidFill>
              <a:schemeClr val="lt1"/>
            </a:solidFill>
          </a:ln>
          <a:effectLst/>
          <a:sp3d contourW="25400">
            <a:contourClr>
              <a:schemeClr val="lt1"/>
            </a:contourClr>
          </a:sp3d>
        </c:spPr>
      </c:pivotFmt>
      <c:pivotFmt>
        <c:idx val="312"/>
        <c:spPr>
          <a:solidFill>
            <a:schemeClr val="accent1"/>
          </a:solidFill>
          <a:ln w="25400">
            <a:solidFill>
              <a:schemeClr val="lt1"/>
            </a:solidFill>
          </a:ln>
          <a:effectLst/>
          <a:sp3d contourW="25400">
            <a:contourClr>
              <a:schemeClr val="lt1"/>
            </a:contourClr>
          </a:sp3d>
        </c:spPr>
      </c:pivotFmt>
      <c:pivotFmt>
        <c:idx val="313"/>
        <c:spPr>
          <a:solidFill>
            <a:schemeClr val="accent1"/>
          </a:solidFill>
          <a:ln w="25400">
            <a:solidFill>
              <a:schemeClr val="lt1"/>
            </a:solidFill>
          </a:ln>
          <a:effectLst/>
          <a:sp3d contourW="25400">
            <a:contourClr>
              <a:schemeClr val="lt1"/>
            </a:contourClr>
          </a:sp3d>
        </c:spPr>
      </c:pivotFmt>
      <c:pivotFmt>
        <c:idx val="314"/>
        <c:spPr>
          <a:solidFill>
            <a:schemeClr val="accent1"/>
          </a:solidFill>
          <a:ln w="25400">
            <a:solidFill>
              <a:schemeClr val="lt1"/>
            </a:solidFill>
          </a:ln>
          <a:effectLst/>
          <a:sp3d contourW="25400">
            <a:contourClr>
              <a:schemeClr val="lt1"/>
            </a:contourClr>
          </a:sp3d>
        </c:spPr>
      </c:pivotFmt>
      <c:pivotFmt>
        <c:idx val="315"/>
        <c:spPr>
          <a:solidFill>
            <a:schemeClr val="accent1"/>
          </a:solidFill>
          <a:ln w="25400">
            <a:solidFill>
              <a:schemeClr val="lt1"/>
            </a:solidFill>
          </a:ln>
          <a:effectLst/>
          <a:sp3d contourW="25400">
            <a:contourClr>
              <a:schemeClr val="lt1"/>
            </a:contourClr>
          </a:sp3d>
        </c:spPr>
      </c:pivotFmt>
      <c:pivotFmt>
        <c:idx val="316"/>
        <c:spPr>
          <a:solidFill>
            <a:schemeClr val="accent1"/>
          </a:solidFill>
          <a:ln w="25400">
            <a:solidFill>
              <a:schemeClr val="lt1"/>
            </a:solidFill>
          </a:ln>
          <a:effectLst/>
          <a:sp3d contourW="25400">
            <a:contourClr>
              <a:schemeClr val="lt1"/>
            </a:contourClr>
          </a:sp3d>
        </c:spPr>
      </c:pivotFmt>
      <c:pivotFmt>
        <c:idx val="317"/>
        <c:spPr>
          <a:solidFill>
            <a:schemeClr val="accent1"/>
          </a:solidFill>
          <a:ln w="25400">
            <a:solidFill>
              <a:schemeClr val="lt1"/>
            </a:solidFill>
          </a:ln>
          <a:effectLst/>
          <a:sp3d contourW="25400">
            <a:contourClr>
              <a:schemeClr val="lt1"/>
            </a:contourClr>
          </a:sp3d>
        </c:spPr>
      </c:pivotFmt>
      <c:pivotFmt>
        <c:idx val="318"/>
        <c:spPr>
          <a:solidFill>
            <a:schemeClr val="accent1"/>
          </a:solidFill>
          <a:ln w="25400">
            <a:solidFill>
              <a:schemeClr val="lt1"/>
            </a:solidFill>
          </a:ln>
          <a:effectLst/>
          <a:sp3d contourW="25400">
            <a:contourClr>
              <a:schemeClr val="lt1"/>
            </a:contourClr>
          </a:sp3d>
        </c:spPr>
      </c:pivotFmt>
      <c:pivotFmt>
        <c:idx val="319"/>
        <c:spPr>
          <a:solidFill>
            <a:schemeClr val="accent1"/>
          </a:solidFill>
          <a:ln w="25400">
            <a:solidFill>
              <a:schemeClr val="lt1"/>
            </a:solidFill>
          </a:ln>
          <a:effectLst/>
          <a:sp3d contourW="25400">
            <a:contourClr>
              <a:schemeClr val="lt1"/>
            </a:contourClr>
          </a:sp3d>
        </c:spPr>
      </c:pivotFmt>
      <c:pivotFmt>
        <c:idx val="320"/>
        <c:spPr>
          <a:solidFill>
            <a:schemeClr val="accent1"/>
          </a:solidFill>
          <a:ln w="25400">
            <a:solidFill>
              <a:schemeClr val="lt1"/>
            </a:solidFill>
          </a:ln>
          <a:effectLst/>
          <a:sp3d contourW="25400">
            <a:contourClr>
              <a:schemeClr val="lt1"/>
            </a:contourClr>
          </a:sp3d>
        </c:spPr>
      </c:pivotFmt>
      <c:pivotFmt>
        <c:idx val="321"/>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Sheet12!$AE$20</c:f>
              <c:strCache>
                <c:ptCount val="1"/>
                <c:pt idx="0">
                  <c:v>Sum of GDP_Growth_Rate_Percent</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CBED-C941-93E8-6B073C4BBAC5}"/>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CBED-C941-93E8-6B073C4BBAC5}"/>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CBED-C941-93E8-6B073C4BBAC5}"/>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CBED-C941-93E8-6B073C4BBAC5}"/>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CBED-C941-93E8-6B073C4BBAC5}"/>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CBED-C941-93E8-6B073C4BBAC5}"/>
              </c:ext>
            </c:extLst>
          </c:dPt>
          <c:dPt>
            <c:idx val="6"/>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D-CBED-C941-93E8-6B073C4BBAC5}"/>
              </c:ext>
            </c:extLst>
          </c:dPt>
          <c:dPt>
            <c:idx val="7"/>
            <c:bubble3D val="0"/>
            <c:spPr>
              <a:solidFill>
                <a:schemeClr val="accent2">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F-CBED-C941-93E8-6B073C4BBAC5}"/>
              </c:ext>
            </c:extLst>
          </c:dPt>
          <c:dPt>
            <c:idx val="8"/>
            <c:bubble3D val="0"/>
            <c:spPr>
              <a:solidFill>
                <a:schemeClr val="accent3">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1-CBED-C941-93E8-6B073C4BBAC5}"/>
              </c:ext>
            </c:extLst>
          </c:dPt>
          <c:dPt>
            <c:idx val="9"/>
            <c:bubble3D val="0"/>
            <c:spPr>
              <a:solidFill>
                <a:schemeClr val="accent4">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3-CBED-C941-93E8-6B073C4BBAC5}"/>
              </c:ext>
            </c:extLst>
          </c:dPt>
          <c:dPt>
            <c:idx val="10"/>
            <c:bubble3D val="0"/>
            <c:spPr>
              <a:solidFill>
                <a:schemeClr val="accent5">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5-CBED-C941-93E8-6B073C4BBAC5}"/>
              </c:ext>
            </c:extLst>
          </c:dPt>
          <c:dPt>
            <c:idx val="11"/>
            <c:bubble3D val="0"/>
            <c:spPr>
              <a:solidFill>
                <a:schemeClr val="accent6">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7-CBED-C941-93E8-6B073C4BBAC5}"/>
              </c:ext>
            </c:extLst>
          </c:dPt>
          <c:dPt>
            <c:idx val="12"/>
            <c:bubble3D val="0"/>
            <c:spPr>
              <a:solidFill>
                <a:schemeClr val="accent1">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9-CBED-C941-93E8-6B073C4BBAC5}"/>
              </c:ext>
            </c:extLst>
          </c:dPt>
          <c:dPt>
            <c:idx val="13"/>
            <c:bubble3D val="0"/>
            <c:spPr>
              <a:solidFill>
                <a:schemeClr val="accent2">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B-CBED-C941-93E8-6B073C4BBAC5}"/>
              </c:ext>
            </c:extLst>
          </c:dPt>
          <c:dPt>
            <c:idx val="14"/>
            <c:bubble3D val="0"/>
            <c:spPr>
              <a:solidFill>
                <a:schemeClr val="accent3">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D-CBED-C941-93E8-6B073C4BBAC5}"/>
              </c:ext>
            </c:extLst>
          </c:dPt>
          <c:dPt>
            <c:idx val="15"/>
            <c:bubble3D val="0"/>
            <c:spPr>
              <a:solidFill>
                <a:schemeClr val="accent4">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F-CBED-C941-93E8-6B073C4BBAC5}"/>
              </c:ext>
            </c:extLst>
          </c:dPt>
          <c:dPt>
            <c:idx val="16"/>
            <c:bubble3D val="0"/>
            <c:spPr>
              <a:solidFill>
                <a:schemeClr val="accent5">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1-CBED-C941-93E8-6B073C4BBAC5}"/>
              </c:ext>
            </c:extLst>
          </c:dPt>
          <c:dPt>
            <c:idx val="17"/>
            <c:bubble3D val="0"/>
            <c:spPr>
              <a:solidFill>
                <a:schemeClr val="accent6">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3-CBED-C941-93E8-6B073C4BBAC5}"/>
              </c:ext>
            </c:extLst>
          </c:dPt>
          <c:dPt>
            <c:idx val="18"/>
            <c:bubble3D val="0"/>
            <c:spPr>
              <a:solidFill>
                <a:schemeClr val="accent1">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5-CBED-C941-93E8-6B073C4BBAC5}"/>
              </c:ext>
            </c:extLst>
          </c:dPt>
          <c:dPt>
            <c:idx val="19"/>
            <c:bubble3D val="0"/>
            <c:spPr>
              <a:solidFill>
                <a:schemeClr val="accent2">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7-CBED-C941-93E8-6B073C4BBAC5}"/>
              </c:ext>
            </c:extLst>
          </c:dPt>
          <c:dPt>
            <c:idx val="20"/>
            <c:bubble3D val="0"/>
            <c:spPr>
              <a:solidFill>
                <a:schemeClr val="accent3">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9-CBED-C941-93E8-6B073C4BBAC5}"/>
              </c:ext>
            </c:extLst>
          </c:dPt>
          <c:dPt>
            <c:idx val="21"/>
            <c:bubble3D val="0"/>
            <c:spPr>
              <a:solidFill>
                <a:schemeClr val="accent4">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B-CBED-C941-93E8-6B073C4BBAC5}"/>
              </c:ext>
            </c:extLst>
          </c:dPt>
          <c:dPt>
            <c:idx val="22"/>
            <c:bubble3D val="0"/>
            <c:spPr>
              <a:solidFill>
                <a:schemeClr val="accent5">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D-CBED-C941-93E8-6B073C4BBAC5}"/>
              </c:ext>
            </c:extLst>
          </c:dPt>
          <c:dPt>
            <c:idx val="23"/>
            <c:bubble3D val="0"/>
            <c:spPr>
              <a:solidFill>
                <a:schemeClr val="accent6">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F-CBED-C941-93E8-6B073C4BBAC5}"/>
              </c:ext>
            </c:extLst>
          </c:dPt>
          <c:dPt>
            <c:idx val="24"/>
            <c:bubble3D val="0"/>
            <c:spPr>
              <a:solidFill>
                <a:schemeClr val="accent1">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31-CBED-C941-93E8-6B073C4BBAC5}"/>
              </c:ext>
            </c:extLst>
          </c:dPt>
          <c:dPt>
            <c:idx val="25"/>
            <c:bubble3D val="0"/>
            <c:spPr>
              <a:solidFill>
                <a:schemeClr val="accent2">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33-CBED-C941-93E8-6B073C4BBAC5}"/>
              </c:ext>
            </c:extLst>
          </c:dPt>
          <c:dPt>
            <c:idx val="26"/>
            <c:bubble3D val="0"/>
            <c:spPr>
              <a:solidFill>
                <a:schemeClr val="accent3">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35-CBED-C941-93E8-6B073C4BBAC5}"/>
              </c:ext>
            </c:extLst>
          </c:dPt>
          <c:dPt>
            <c:idx val="27"/>
            <c:bubble3D val="0"/>
            <c:spPr>
              <a:solidFill>
                <a:schemeClr val="accent4">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37-CBED-C941-93E8-6B073C4BBAC5}"/>
              </c:ext>
            </c:extLst>
          </c:dPt>
          <c:dPt>
            <c:idx val="28"/>
            <c:bubble3D val="0"/>
            <c:spPr>
              <a:solidFill>
                <a:schemeClr val="accent5">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39-CBED-C941-93E8-6B073C4BBAC5}"/>
              </c:ext>
            </c:extLst>
          </c:dPt>
          <c:dPt>
            <c:idx val="29"/>
            <c:bubble3D val="0"/>
            <c:spPr>
              <a:solidFill>
                <a:schemeClr val="accent6">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3B-CBED-C941-93E8-6B073C4BBAC5}"/>
              </c:ext>
            </c:extLst>
          </c:dPt>
          <c:dPt>
            <c:idx val="30"/>
            <c:bubble3D val="0"/>
            <c:spPr>
              <a:solidFill>
                <a:schemeClr val="accent1">
                  <a:lumMod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3D-CBED-C941-93E8-6B073C4BBAC5}"/>
              </c:ext>
            </c:extLst>
          </c:dPt>
          <c:dPt>
            <c:idx val="31"/>
            <c:bubble3D val="0"/>
            <c:spPr>
              <a:solidFill>
                <a:schemeClr val="accent2">
                  <a:lumMod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3F-CBED-C941-93E8-6B073C4BBAC5}"/>
              </c:ext>
            </c:extLst>
          </c:dPt>
          <c:dPt>
            <c:idx val="32"/>
            <c:bubble3D val="0"/>
            <c:spPr>
              <a:solidFill>
                <a:schemeClr val="accent3">
                  <a:lumMod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41-CBED-C941-93E8-6B073C4BBAC5}"/>
              </c:ext>
            </c:extLst>
          </c:dPt>
          <c:dPt>
            <c:idx val="33"/>
            <c:bubble3D val="0"/>
            <c:spPr>
              <a:solidFill>
                <a:schemeClr val="accent4">
                  <a:lumMod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43-CBED-C941-93E8-6B073C4BBAC5}"/>
              </c:ext>
            </c:extLst>
          </c:dPt>
          <c:dPt>
            <c:idx val="34"/>
            <c:bubble3D val="0"/>
            <c:spPr>
              <a:solidFill>
                <a:schemeClr val="accent5">
                  <a:lumMod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45-CBED-C941-93E8-6B073C4BBAC5}"/>
              </c:ext>
            </c:extLst>
          </c:dPt>
          <c:dPt>
            <c:idx val="35"/>
            <c:bubble3D val="0"/>
            <c:spPr>
              <a:solidFill>
                <a:schemeClr val="accent6">
                  <a:lumMod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47-CBED-C941-93E8-6B073C4BBAC5}"/>
              </c:ext>
            </c:extLst>
          </c:dPt>
          <c:dPt>
            <c:idx val="36"/>
            <c:bubble3D val="0"/>
            <c:spPr>
              <a:solidFill>
                <a:schemeClr val="accent1">
                  <a:lumMod val="70000"/>
                  <a:lumOff val="3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49-CBED-C941-93E8-6B073C4BBAC5}"/>
              </c:ext>
            </c:extLst>
          </c:dPt>
          <c:dPt>
            <c:idx val="37"/>
            <c:bubble3D val="0"/>
            <c:spPr>
              <a:solidFill>
                <a:schemeClr val="accent2">
                  <a:lumMod val="70000"/>
                  <a:lumOff val="3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4B-CBED-C941-93E8-6B073C4BBAC5}"/>
              </c:ext>
            </c:extLst>
          </c:dPt>
          <c:dPt>
            <c:idx val="38"/>
            <c:bubble3D val="0"/>
            <c:spPr>
              <a:solidFill>
                <a:schemeClr val="accent3">
                  <a:lumMod val="70000"/>
                  <a:lumOff val="3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4D-CBED-C941-93E8-6B073C4BBAC5}"/>
              </c:ext>
            </c:extLst>
          </c:dPt>
          <c:cat>
            <c:strRef>
              <c:f>Sheet12!$AD$21:$AD$60</c:f>
              <c:strCache>
                <c:ptCount val="39"/>
                <c:pt idx="0">
                  <c:v>Argentina</c:v>
                </c:pt>
                <c:pt idx="1">
                  <c:v>Australia</c:v>
                </c:pt>
                <c:pt idx="2">
                  <c:v>Brazil</c:v>
                </c:pt>
                <c:pt idx="3">
                  <c:v>Canada</c:v>
                </c:pt>
                <c:pt idx="4">
                  <c:v>Chile</c:v>
                </c:pt>
                <c:pt idx="5">
                  <c:v>China</c:v>
                </c:pt>
                <c:pt idx="6">
                  <c:v>Colombia</c:v>
                </c:pt>
                <c:pt idx="7">
                  <c:v>Denmark</c:v>
                </c:pt>
                <c:pt idx="8">
                  <c:v>Egypt</c:v>
                </c:pt>
                <c:pt idx="9">
                  <c:v>France</c:v>
                </c:pt>
                <c:pt idx="10">
                  <c:v>Germany</c:v>
                </c:pt>
                <c:pt idx="11">
                  <c:v>Hong Kong</c:v>
                </c:pt>
                <c:pt idx="12">
                  <c:v>India</c:v>
                </c:pt>
                <c:pt idx="13">
                  <c:v>Indonesia</c:v>
                </c:pt>
                <c:pt idx="14">
                  <c:v>Israel</c:v>
                </c:pt>
                <c:pt idx="15">
                  <c:v>Italy</c:v>
                </c:pt>
                <c:pt idx="16">
                  <c:v>Japan</c:v>
                </c:pt>
                <c:pt idx="17">
                  <c:v>Malaysia</c:v>
                </c:pt>
                <c:pt idx="18">
                  <c:v>Mexico</c:v>
                </c:pt>
                <c:pt idx="19">
                  <c:v>Netherlands</c:v>
                </c:pt>
                <c:pt idx="20">
                  <c:v>Nigeria</c:v>
                </c:pt>
                <c:pt idx="21">
                  <c:v>Norway</c:v>
                </c:pt>
                <c:pt idx="22">
                  <c:v>Peru</c:v>
                </c:pt>
                <c:pt idx="23">
                  <c:v>Philippines</c:v>
                </c:pt>
                <c:pt idx="24">
                  <c:v>Russia</c:v>
                </c:pt>
                <c:pt idx="25">
                  <c:v>Saudi Arabia</c:v>
                </c:pt>
                <c:pt idx="26">
                  <c:v>Singapore</c:v>
                </c:pt>
                <c:pt idx="27">
                  <c:v>South Africa</c:v>
                </c:pt>
                <c:pt idx="28">
                  <c:v>South Korea</c:v>
                </c:pt>
                <c:pt idx="29">
                  <c:v>Spain</c:v>
                </c:pt>
                <c:pt idx="30">
                  <c:v>Sweden</c:v>
                </c:pt>
                <c:pt idx="31">
                  <c:v>Switzerland</c:v>
                </c:pt>
                <c:pt idx="32">
                  <c:v>Taiwan</c:v>
                </c:pt>
                <c:pt idx="33">
                  <c:v>Thailand</c:v>
                </c:pt>
                <c:pt idx="34">
                  <c:v>Turkey</c:v>
                </c:pt>
                <c:pt idx="35">
                  <c:v>UAE</c:v>
                </c:pt>
                <c:pt idx="36">
                  <c:v>United Kingdom</c:v>
                </c:pt>
                <c:pt idx="37">
                  <c:v>United States</c:v>
                </c:pt>
                <c:pt idx="38">
                  <c:v>Vietnam</c:v>
                </c:pt>
              </c:strCache>
            </c:strRef>
          </c:cat>
          <c:val>
            <c:numRef>
              <c:f>Sheet12!$AE$21:$AE$60</c:f>
              <c:numCache>
                <c:formatCode>General</c:formatCode>
                <c:ptCount val="39"/>
                <c:pt idx="0">
                  <c:v>-1.6</c:v>
                </c:pt>
                <c:pt idx="1">
                  <c:v>1.7</c:v>
                </c:pt>
                <c:pt idx="2">
                  <c:v>2.1</c:v>
                </c:pt>
                <c:pt idx="3">
                  <c:v>2.9</c:v>
                </c:pt>
                <c:pt idx="4">
                  <c:v>2.4</c:v>
                </c:pt>
                <c:pt idx="5">
                  <c:v>5.2</c:v>
                </c:pt>
                <c:pt idx="6">
                  <c:v>1.2</c:v>
                </c:pt>
                <c:pt idx="7">
                  <c:v>1.8</c:v>
                </c:pt>
                <c:pt idx="8">
                  <c:v>2.8</c:v>
                </c:pt>
                <c:pt idx="9">
                  <c:v>1.3</c:v>
                </c:pt>
                <c:pt idx="10">
                  <c:v>0.3</c:v>
                </c:pt>
                <c:pt idx="11">
                  <c:v>3.2</c:v>
                </c:pt>
                <c:pt idx="12">
                  <c:v>6.8</c:v>
                </c:pt>
                <c:pt idx="13">
                  <c:v>5.0999999999999996</c:v>
                </c:pt>
                <c:pt idx="14">
                  <c:v>2</c:v>
                </c:pt>
                <c:pt idx="15">
                  <c:v>0.7</c:v>
                </c:pt>
                <c:pt idx="16">
                  <c:v>0.9</c:v>
                </c:pt>
                <c:pt idx="17">
                  <c:v>4.2</c:v>
                </c:pt>
                <c:pt idx="18">
                  <c:v>2.4</c:v>
                </c:pt>
                <c:pt idx="19">
                  <c:v>0.6</c:v>
                </c:pt>
                <c:pt idx="20">
                  <c:v>3.2</c:v>
                </c:pt>
                <c:pt idx="21">
                  <c:v>2.1</c:v>
                </c:pt>
                <c:pt idx="22">
                  <c:v>2.8</c:v>
                </c:pt>
                <c:pt idx="23">
                  <c:v>5.8</c:v>
                </c:pt>
                <c:pt idx="24">
                  <c:v>-1.9</c:v>
                </c:pt>
                <c:pt idx="25">
                  <c:v>1.1000000000000001</c:v>
                </c:pt>
                <c:pt idx="26">
                  <c:v>2.6</c:v>
                </c:pt>
                <c:pt idx="27">
                  <c:v>0.9</c:v>
                </c:pt>
                <c:pt idx="28">
                  <c:v>3.1</c:v>
                </c:pt>
                <c:pt idx="29">
                  <c:v>2.5</c:v>
                </c:pt>
                <c:pt idx="30">
                  <c:v>0.8</c:v>
                </c:pt>
                <c:pt idx="31">
                  <c:v>1.2</c:v>
                </c:pt>
                <c:pt idx="32">
                  <c:v>3.8</c:v>
                </c:pt>
                <c:pt idx="33">
                  <c:v>2.9</c:v>
                </c:pt>
                <c:pt idx="34">
                  <c:v>3.1</c:v>
                </c:pt>
                <c:pt idx="35">
                  <c:v>3.9</c:v>
                </c:pt>
                <c:pt idx="36">
                  <c:v>1.1000000000000001</c:v>
                </c:pt>
                <c:pt idx="37">
                  <c:v>2.8</c:v>
                </c:pt>
                <c:pt idx="38">
                  <c:v>6.4</c:v>
                </c:pt>
              </c:numCache>
            </c:numRef>
          </c:val>
          <c:extLst>
            <c:ext xmlns:c16="http://schemas.microsoft.com/office/drawing/2014/chart" uri="{C3380CC4-5D6E-409C-BE32-E72D297353CC}">
              <c16:uniqueId val="{0000004E-CBED-C941-93E8-6B073C4BBAC5}"/>
            </c:ext>
          </c:extLst>
        </c:ser>
        <c:ser>
          <c:idx val="1"/>
          <c:order val="1"/>
          <c:tx>
            <c:strRef>
              <c:f>Sheet12!$AF$20</c:f>
              <c:strCache>
                <c:ptCount val="1"/>
                <c:pt idx="0">
                  <c:v>Sum of Inflation_Rate_Percent</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50-CBED-C941-93E8-6B073C4BBAC5}"/>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52-CBED-C941-93E8-6B073C4BBAC5}"/>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54-CBED-C941-93E8-6B073C4BBAC5}"/>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56-CBED-C941-93E8-6B073C4BBAC5}"/>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58-CBED-C941-93E8-6B073C4BBAC5}"/>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5A-CBED-C941-93E8-6B073C4BBAC5}"/>
              </c:ext>
            </c:extLst>
          </c:dPt>
          <c:dPt>
            <c:idx val="6"/>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5C-CBED-C941-93E8-6B073C4BBAC5}"/>
              </c:ext>
            </c:extLst>
          </c:dPt>
          <c:dPt>
            <c:idx val="7"/>
            <c:bubble3D val="0"/>
            <c:spPr>
              <a:solidFill>
                <a:schemeClr val="accent2">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5E-CBED-C941-93E8-6B073C4BBAC5}"/>
              </c:ext>
            </c:extLst>
          </c:dPt>
          <c:dPt>
            <c:idx val="8"/>
            <c:bubble3D val="0"/>
            <c:spPr>
              <a:solidFill>
                <a:schemeClr val="accent3">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60-CBED-C941-93E8-6B073C4BBAC5}"/>
              </c:ext>
            </c:extLst>
          </c:dPt>
          <c:dPt>
            <c:idx val="9"/>
            <c:bubble3D val="0"/>
            <c:spPr>
              <a:solidFill>
                <a:schemeClr val="accent4">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62-CBED-C941-93E8-6B073C4BBAC5}"/>
              </c:ext>
            </c:extLst>
          </c:dPt>
          <c:dPt>
            <c:idx val="10"/>
            <c:bubble3D val="0"/>
            <c:spPr>
              <a:solidFill>
                <a:schemeClr val="accent5">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64-CBED-C941-93E8-6B073C4BBAC5}"/>
              </c:ext>
            </c:extLst>
          </c:dPt>
          <c:dPt>
            <c:idx val="11"/>
            <c:bubble3D val="0"/>
            <c:spPr>
              <a:solidFill>
                <a:schemeClr val="accent6">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66-CBED-C941-93E8-6B073C4BBAC5}"/>
              </c:ext>
            </c:extLst>
          </c:dPt>
          <c:dPt>
            <c:idx val="12"/>
            <c:bubble3D val="0"/>
            <c:spPr>
              <a:solidFill>
                <a:schemeClr val="accent1">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68-CBED-C941-93E8-6B073C4BBAC5}"/>
              </c:ext>
            </c:extLst>
          </c:dPt>
          <c:dPt>
            <c:idx val="13"/>
            <c:bubble3D val="0"/>
            <c:spPr>
              <a:solidFill>
                <a:schemeClr val="accent2">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6A-CBED-C941-93E8-6B073C4BBAC5}"/>
              </c:ext>
            </c:extLst>
          </c:dPt>
          <c:dPt>
            <c:idx val="14"/>
            <c:bubble3D val="0"/>
            <c:spPr>
              <a:solidFill>
                <a:schemeClr val="accent3">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6C-CBED-C941-93E8-6B073C4BBAC5}"/>
              </c:ext>
            </c:extLst>
          </c:dPt>
          <c:dPt>
            <c:idx val="15"/>
            <c:bubble3D val="0"/>
            <c:spPr>
              <a:solidFill>
                <a:schemeClr val="accent4">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6E-CBED-C941-93E8-6B073C4BBAC5}"/>
              </c:ext>
            </c:extLst>
          </c:dPt>
          <c:dPt>
            <c:idx val="16"/>
            <c:bubble3D val="0"/>
            <c:spPr>
              <a:solidFill>
                <a:schemeClr val="accent5">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70-CBED-C941-93E8-6B073C4BBAC5}"/>
              </c:ext>
            </c:extLst>
          </c:dPt>
          <c:dPt>
            <c:idx val="17"/>
            <c:bubble3D val="0"/>
            <c:spPr>
              <a:solidFill>
                <a:schemeClr val="accent6">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72-CBED-C941-93E8-6B073C4BBAC5}"/>
              </c:ext>
            </c:extLst>
          </c:dPt>
          <c:dPt>
            <c:idx val="18"/>
            <c:bubble3D val="0"/>
            <c:spPr>
              <a:solidFill>
                <a:schemeClr val="accent1">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74-CBED-C941-93E8-6B073C4BBAC5}"/>
              </c:ext>
            </c:extLst>
          </c:dPt>
          <c:dPt>
            <c:idx val="19"/>
            <c:bubble3D val="0"/>
            <c:spPr>
              <a:solidFill>
                <a:schemeClr val="accent2">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76-CBED-C941-93E8-6B073C4BBAC5}"/>
              </c:ext>
            </c:extLst>
          </c:dPt>
          <c:dPt>
            <c:idx val="20"/>
            <c:bubble3D val="0"/>
            <c:spPr>
              <a:solidFill>
                <a:schemeClr val="accent3">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78-CBED-C941-93E8-6B073C4BBAC5}"/>
              </c:ext>
            </c:extLst>
          </c:dPt>
          <c:dPt>
            <c:idx val="21"/>
            <c:bubble3D val="0"/>
            <c:spPr>
              <a:solidFill>
                <a:schemeClr val="accent4">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7A-CBED-C941-93E8-6B073C4BBAC5}"/>
              </c:ext>
            </c:extLst>
          </c:dPt>
          <c:dPt>
            <c:idx val="22"/>
            <c:bubble3D val="0"/>
            <c:spPr>
              <a:solidFill>
                <a:schemeClr val="accent5">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7C-CBED-C941-93E8-6B073C4BBAC5}"/>
              </c:ext>
            </c:extLst>
          </c:dPt>
          <c:dPt>
            <c:idx val="23"/>
            <c:bubble3D val="0"/>
            <c:spPr>
              <a:solidFill>
                <a:schemeClr val="accent6">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7E-CBED-C941-93E8-6B073C4BBAC5}"/>
              </c:ext>
            </c:extLst>
          </c:dPt>
          <c:dPt>
            <c:idx val="24"/>
            <c:bubble3D val="0"/>
            <c:spPr>
              <a:solidFill>
                <a:schemeClr val="accent1">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80-CBED-C941-93E8-6B073C4BBAC5}"/>
              </c:ext>
            </c:extLst>
          </c:dPt>
          <c:dPt>
            <c:idx val="25"/>
            <c:bubble3D val="0"/>
            <c:spPr>
              <a:solidFill>
                <a:schemeClr val="accent2">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82-CBED-C941-93E8-6B073C4BBAC5}"/>
              </c:ext>
            </c:extLst>
          </c:dPt>
          <c:dPt>
            <c:idx val="26"/>
            <c:bubble3D val="0"/>
            <c:spPr>
              <a:solidFill>
                <a:schemeClr val="accent3">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84-CBED-C941-93E8-6B073C4BBAC5}"/>
              </c:ext>
            </c:extLst>
          </c:dPt>
          <c:dPt>
            <c:idx val="27"/>
            <c:bubble3D val="0"/>
            <c:spPr>
              <a:solidFill>
                <a:schemeClr val="accent4">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86-CBED-C941-93E8-6B073C4BBAC5}"/>
              </c:ext>
            </c:extLst>
          </c:dPt>
          <c:dPt>
            <c:idx val="28"/>
            <c:bubble3D val="0"/>
            <c:spPr>
              <a:solidFill>
                <a:schemeClr val="accent5">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88-CBED-C941-93E8-6B073C4BBAC5}"/>
              </c:ext>
            </c:extLst>
          </c:dPt>
          <c:dPt>
            <c:idx val="29"/>
            <c:bubble3D val="0"/>
            <c:spPr>
              <a:solidFill>
                <a:schemeClr val="accent6">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8A-CBED-C941-93E8-6B073C4BBAC5}"/>
              </c:ext>
            </c:extLst>
          </c:dPt>
          <c:dPt>
            <c:idx val="30"/>
            <c:bubble3D val="0"/>
            <c:spPr>
              <a:solidFill>
                <a:schemeClr val="accent1">
                  <a:lumMod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8C-CBED-C941-93E8-6B073C4BBAC5}"/>
              </c:ext>
            </c:extLst>
          </c:dPt>
          <c:dPt>
            <c:idx val="31"/>
            <c:bubble3D val="0"/>
            <c:spPr>
              <a:solidFill>
                <a:schemeClr val="accent2">
                  <a:lumMod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8E-CBED-C941-93E8-6B073C4BBAC5}"/>
              </c:ext>
            </c:extLst>
          </c:dPt>
          <c:dPt>
            <c:idx val="32"/>
            <c:bubble3D val="0"/>
            <c:spPr>
              <a:solidFill>
                <a:schemeClr val="accent3">
                  <a:lumMod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90-CBED-C941-93E8-6B073C4BBAC5}"/>
              </c:ext>
            </c:extLst>
          </c:dPt>
          <c:dPt>
            <c:idx val="33"/>
            <c:bubble3D val="0"/>
            <c:spPr>
              <a:solidFill>
                <a:schemeClr val="accent4">
                  <a:lumMod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92-CBED-C941-93E8-6B073C4BBAC5}"/>
              </c:ext>
            </c:extLst>
          </c:dPt>
          <c:dPt>
            <c:idx val="34"/>
            <c:bubble3D val="0"/>
            <c:spPr>
              <a:solidFill>
                <a:schemeClr val="accent5">
                  <a:lumMod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94-CBED-C941-93E8-6B073C4BBAC5}"/>
              </c:ext>
            </c:extLst>
          </c:dPt>
          <c:dPt>
            <c:idx val="35"/>
            <c:bubble3D val="0"/>
            <c:spPr>
              <a:solidFill>
                <a:schemeClr val="accent6">
                  <a:lumMod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96-CBED-C941-93E8-6B073C4BBAC5}"/>
              </c:ext>
            </c:extLst>
          </c:dPt>
          <c:dPt>
            <c:idx val="36"/>
            <c:bubble3D val="0"/>
            <c:spPr>
              <a:solidFill>
                <a:schemeClr val="accent1">
                  <a:lumMod val="70000"/>
                  <a:lumOff val="3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98-CBED-C941-93E8-6B073C4BBAC5}"/>
              </c:ext>
            </c:extLst>
          </c:dPt>
          <c:dPt>
            <c:idx val="37"/>
            <c:bubble3D val="0"/>
            <c:spPr>
              <a:solidFill>
                <a:schemeClr val="accent2">
                  <a:lumMod val="70000"/>
                  <a:lumOff val="3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9A-CBED-C941-93E8-6B073C4BBAC5}"/>
              </c:ext>
            </c:extLst>
          </c:dPt>
          <c:dPt>
            <c:idx val="38"/>
            <c:bubble3D val="0"/>
            <c:spPr>
              <a:solidFill>
                <a:schemeClr val="accent3">
                  <a:lumMod val="70000"/>
                  <a:lumOff val="3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9C-CBED-C941-93E8-6B073C4BBAC5}"/>
              </c:ext>
            </c:extLst>
          </c:dPt>
          <c:cat>
            <c:strRef>
              <c:f>Sheet12!$AD$21:$AD$60</c:f>
              <c:strCache>
                <c:ptCount val="39"/>
                <c:pt idx="0">
                  <c:v>Argentina</c:v>
                </c:pt>
                <c:pt idx="1">
                  <c:v>Australia</c:v>
                </c:pt>
                <c:pt idx="2">
                  <c:v>Brazil</c:v>
                </c:pt>
                <c:pt idx="3">
                  <c:v>Canada</c:v>
                </c:pt>
                <c:pt idx="4">
                  <c:v>Chile</c:v>
                </c:pt>
                <c:pt idx="5">
                  <c:v>China</c:v>
                </c:pt>
                <c:pt idx="6">
                  <c:v>Colombia</c:v>
                </c:pt>
                <c:pt idx="7">
                  <c:v>Denmark</c:v>
                </c:pt>
                <c:pt idx="8">
                  <c:v>Egypt</c:v>
                </c:pt>
                <c:pt idx="9">
                  <c:v>France</c:v>
                </c:pt>
                <c:pt idx="10">
                  <c:v>Germany</c:v>
                </c:pt>
                <c:pt idx="11">
                  <c:v>Hong Kong</c:v>
                </c:pt>
                <c:pt idx="12">
                  <c:v>India</c:v>
                </c:pt>
                <c:pt idx="13">
                  <c:v>Indonesia</c:v>
                </c:pt>
                <c:pt idx="14">
                  <c:v>Israel</c:v>
                </c:pt>
                <c:pt idx="15">
                  <c:v>Italy</c:v>
                </c:pt>
                <c:pt idx="16">
                  <c:v>Japan</c:v>
                </c:pt>
                <c:pt idx="17">
                  <c:v>Malaysia</c:v>
                </c:pt>
                <c:pt idx="18">
                  <c:v>Mexico</c:v>
                </c:pt>
                <c:pt idx="19">
                  <c:v>Netherlands</c:v>
                </c:pt>
                <c:pt idx="20">
                  <c:v>Nigeria</c:v>
                </c:pt>
                <c:pt idx="21">
                  <c:v>Norway</c:v>
                </c:pt>
                <c:pt idx="22">
                  <c:v>Peru</c:v>
                </c:pt>
                <c:pt idx="23">
                  <c:v>Philippines</c:v>
                </c:pt>
                <c:pt idx="24">
                  <c:v>Russia</c:v>
                </c:pt>
                <c:pt idx="25">
                  <c:v>Saudi Arabia</c:v>
                </c:pt>
                <c:pt idx="26">
                  <c:v>Singapore</c:v>
                </c:pt>
                <c:pt idx="27">
                  <c:v>South Africa</c:v>
                </c:pt>
                <c:pt idx="28">
                  <c:v>South Korea</c:v>
                </c:pt>
                <c:pt idx="29">
                  <c:v>Spain</c:v>
                </c:pt>
                <c:pt idx="30">
                  <c:v>Sweden</c:v>
                </c:pt>
                <c:pt idx="31">
                  <c:v>Switzerland</c:v>
                </c:pt>
                <c:pt idx="32">
                  <c:v>Taiwan</c:v>
                </c:pt>
                <c:pt idx="33">
                  <c:v>Thailand</c:v>
                </c:pt>
                <c:pt idx="34">
                  <c:v>Turkey</c:v>
                </c:pt>
                <c:pt idx="35">
                  <c:v>UAE</c:v>
                </c:pt>
                <c:pt idx="36">
                  <c:v>United Kingdom</c:v>
                </c:pt>
                <c:pt idx="37">
                  <c:v>United States</c:v>
                </c:pt>
                <c:pt idx="38">
                  <c:v>Vietnam</c:v>
                </c:pt>
              </c:strCache>
            </c:strRef>
          </c:cat>
          <c:val>
            <c:numRef>
              <c:f>Sheet12!$AF$21:$AF$60</c:f>
              <c:numCache>
                <c:formatCode>General</c:formatCode>
                <c:ptCount val="39"/>
                <c:pt idx="0">
                  <c:v>211.4</c:v>
                </c:pt>
                <c:pt idx="1">
                  <c:v>3.8</c:v>
                </c:pt>
                <c:pt idx="2">
                  <c:v>4.5</c:v>
                </c:pt>
                <c:pt idx="3">
                  <c:v>2.8</c:v>
                </c:pt>
                <c:pt idx="4">
                  <c:v>4.0999999999999996</c:v>
                </c:pt>
                <c:pt idx="5">
                  <c:v>0.8</c:v>
                </c:pt>
                <c:pt idx="6">
                  <c:v>7.2</c:v>
                </c:pt>
                <c:pt idx="7">
                  <c:v>1.7</c:v>
                </c:pt>
                <c:pt idx="8">
                  <c:v>33.1</c:v>
                </c:pt>
                <c:pt idx="9">
                  <c:v>2.2999999999999998</c:v>
                </c:pt>
                <c:pt idx="10">
                  <c:v>2.2000000000000002</c:v>
                </c:pt>
                <c:pt idx="11">
                  <c:v>1.8</c:v>
                </c:pt>
                <c:pt idx="12">
                  <c:v>4.9000000000000004</c:v>
                </c:pt>
                <c:pt idx="13">
                  <c:v>2.8</c:v>
                </c:pt>
                <c:pt idx="14">
                  <c:v>2.2999999999999998</c:v>
                </c:pt>
                <c:pt idx="15">
                  <c:v>1</c:v>
                </c:pt>
                <c:pt idx="16">
                  <c:v>2.8</c:v>
                </c:pt>
                <c:pt idx="17">
                  <c:v>2</c:v>
                </c:pt>
                <c:pt idx="18">
                  <c:v>4.7</c:v>
                </c:pt>
                <c:pt idx="19">
                  <c:v>1.1000000000000001</c:v>
                </c:pt>
                <c:pt idx="20">
                  <c:v>21.8</c:v>
                </c:pt>
                <c:pt idx="21">
                  <c:v>3.1</c:v>
                </c:pt>
                <c:pt idx="22">
                  <c:v>2.8</c:v>
                </c:pt>
                <c:pt idx="23">
                  <c:v>3.7</c:v>
                </c:pt>
                <c:pt idx="24">
                  <c:v>7.4</c:v>
                </c:pt>
                <c:pt idx="25">
                  <c:v>-0.4</c:v>
                </c:pt>
                <c:pt idx="26">
                  <c:v>2.4</c:v>
                </c:pt>
                <c:pt idx="27">
                  <c:v>4.7</c:v>
                </c:pt>
                <c:pt idx="28">
                  <c:v>2.4</c:v>
                </c:pt>
                <c:pt idx="29">
                  <c:v>3.2</c:v>
                </c:pt>
                <c:pt idx="30">
                  <c:v>1.9</c:v>
                </c:pt>
                <c:pt idx="31">
                  <c:v>1.4</c:v>
                </c:pt>
                <c:pt idx="32">
                  <c:v>2.1</c:v>
                </c:pt>
                <c:pt idx="33">
                  <c:v>0.4</c:v>
                </c:pt>
                <c:pt idx="34">
                  <c:v>64.8</c:v>
                </c:pt>
                <c:pt idx="35">
                  <c:v>1.9</c:v>
                </c:pt>
                <c:pt idx="36">
                  <c:v>2</c:v>
                </c:pt>
                <c:pt idx="37">
                  <c:v>2.9</c:v>
                </c:pt>
                <c:pt idx="38">
                  <c:v>4.0999999999999996</c:v>
                </c:pt>
              </c:numCache>
            </c:numRef>
          </c:val>
          <c:extLst>
            <c:ext xmlns:c16="http://schemas.microsoft.com/office/drawing/2014/chart" uri="{C3380CC4-5D6E-409C-BE32-E72D297353CC}">
              <c16:uniqueId val="{0000009D-CBED-C941-93E8-6B073C4BBAC5}"/>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[Saravanan Milestone.xlsx]Sheet12!PivotTable16</c:name>
    <c:fmtId val="23"/>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line3DChart>
        <c:grouping val="standard"/>
        <c:varyColors val="0"/>
        <c:ser>
          <c:idx val="0"/>
          <c:order val="0"/>
          <c:tx>
            <c:strRef>
              <c:f>Sheet12!$BR$23</c:f>
              <c:strCache>
                <c:ptCount val="1"/>
                <c:pt idx="0">
                  <c:v>Sum of Unemployment_Rate_Percent</c:v>
                </c:pt>
              </c:strCache>
            </c:strRef>
          </c:tx>
          <c:spPr>
            <a:solidFill>
              <a:schemeClr val="accent1"/>
            </a:solidFill>
            <a:ln>
              <a:noFill/>
            </a:ln>
            <a:effectLst/>
            <a:sp3d/>
          </c:spPr>
          <c:cat>
            <c:strRef>
              <c:f>Sheet12!$BQ$24:$BQ$63</c:f>
              <c:strCache>
                <c:ptCount val="39"/>
                <c:pt idx="0">
                  <c:v>Argentina</c:v>
                </c:pt>
                <c:pt idx="1">
                  <c:v>Australia</c:v>
                </c:pt>
                <c:pt idx="2">
                  <c:v>Brazil</c:v>
                </c:pt>
                <c:pt idx="3">
                  <c:v>Canada</c:v>
                </c:pt>
                <c:pt idx="4">
                  <c:v>Chile</c:v>
                </c:pt>
                <c:pt idx="5">
                  <c:v>China</c:v>
                </c:pt>
                <c:pt idx="6">
                  <c:v>Colombia</c:v>
                </c:pt>
                <c:pt idx="7">
                  <c:v>Denmark</c:v>
                </c:pt>
                <c:pt idx="8">
                  <c:v>Egypt</c:v>
                </c:pt>
                <c:pt idx="9">
                  <c:v>France</c:v>
                </c:pt>
                <c:pt idx="10">
                  <c:v>Germany</c:v>
                </c:pt>
                <c:pt idx="11">
                  <c:v>Hong Kong</c:v>
                </c:pt>
                <c:pt idx="12">
                  <c:v>India</c:v>
                </c:pt>
                <c:pt idx="13">
                  <c:v>Indonesia</c:v>
                </c:pt>
                <c:pt idx="14">
                  <c:v>Israel</c:v>
                </c:pt>
                <c:pt idx="15">
                  <c:v>Italy</c:v>
                </c:pt>
                <c:pt idx="16">
                  <c:v>Japan</c:v>
                </c:pt>
                <c:pt idx="17">
                  <c:v>Malaysia</c:v>
                </c:pt>
                <c:pt idx="18">
                  <c:v>Mexico</c:v>
                </c:pt>
                <c:pt idx="19">
                  <c:v>Netherlands</c:v>
                </c:pt>
                <c:pt idx="20">
                  <c:v>Nigeria</c:v>
                </c:pt>
                <c:pt idx="21">
                  <c:v>Norway</c:v>
                </c:pt>
                <c:pt idx="22">
                  <c:v>Peru</c:v>
                </c:pt>
                <c:pt idx="23">
                  <c:v>Philippines</c:v>
                </c:pt>
                <c:pt idx="24">
                  <c:v>Russia</c:v>
                </c:pt>
                <c:pt idx="25">
                  <c:v>Saudi Arabia</c:v>
                </c:pt>
                <c:pt idx="26">
                  <c:v>Singapore</c:v>
                </c:pt>
                <c:pt idx="27">
                  <c:v>South Africa</c:v>
                </c:pt>
                <c:pt idx="28">
                  <c:v>South Korea</c:v>
                </c:pt>
                <c:pt idx="29">
                  <c:v>Spain</c:v>
                </c:pt>
                <c:pt idx="30">
                  <c:v>Sweden</c:v>
                </c:pt>
                <c:pt idx="31">
                  <c:v>Switzerland</c:v>
                </c:pt>
                <c:pt idx="32">
                  <c:v>Taiwan</c:v>
                </c:pt>
                <c:pt idx="33">
                  <c:v>Thailand</c:v>
                </c:pt>
                <c:pt idx="34">
                  <c:v>Turkey</c:v>
                </c:pt>
                <c:pt idx="35">
                  <c:v>UAE</c:v>
                </c:pt>
                <c:pt idx="36">
                  <c:v>United Kingdom</c:v>
                </c:pt>
                <c:pt idx="37">
                  <c:v>United States</c:v>
                </c:pt>
                <c:pt idx="38">
                  <c:v>Vietnam</c:v>
                </c:pt>
              </c:strCache>
            </c:strRef>
          </c:cat>
          <c:val>
            <c:numRef>
              <c:f>Sheet12!$BR$24:$BR$63</c:f>
              <c:numCache>
                <c:formatCode>General</c:formatCode>
                <c:ptCount val="39"/>
                <c:pt idx="0">
                  <c:v>6.2</c:v>
                </c:pt>
                <c:pt idx="1">
                  <c:v>4.0999999999999996</c:v>
                </c:pt>
                <c:pt idx="2">
                  <c:v>7.8</c:v>
                </c:pt>
                <c:pt idx="3">
                  <c:v>6.1</c:v>
                </c:pt>
                <c:pt idx="4">
                  <c:v>8.8000000000000007</c:v>
                </c:pt>
                <c:pt idx="5">
                  <c:v>5.2</c:v>
                </c:pt>
                <c:pt idx="6">
                  <c:v>10.199999999999999</c:v>
                </c:pt>
                <c:pt idx="7">
                  <c:v>5.0999999999999996</c:v>
                </c:pt>
                <c:pt idx="8">
                  <c:v>7.2</c:v>
                </c:pt>
                <c:pt idx="9">
                  <c:v>7.4</c:v>
                </c:pt>
                <c:pt idx="10">
                  <c:v>3.1</c:v>
                </c:pt>
                <c:pt idx="11">
                  <c:v>2.8</c:v>
                </c:pt>
                <c:pt idx="12">
                  <c:v>3.2</c:v>
                </c:pt>
                <c:pt idx="13">
                  <c:v>5.4</c:v>
                </c:pt>
                <c:pt idx="14">
                  <c:v>3.4</c:v>
                </c:pt>
                <c:pt idx="15">
                  <c:v>7.6</c:v>
                </c:pt>
                <c:pt idx="16">
                  <c:v>2.4</c:v>
                </c:pt>
                <c:pt idx="17">
                  <c:v>3.4</c:v>
                </c:pt>
                <c:pt idx="18">
                  <c:v>2.8</c:v>
                </c:pt>
                <c:pt idx="19">
                  <c:v>3.6</c:v>
                </c:pt>
                <c:pt idx="20">
                  <c:v>5.0999999999999996</c:v>
                </c:pt>
                <c:pt idx="21">
                  <c:v>3.4</c:v>
                </c:pt>
                <c:pt idx="22">
                  <c:v>6.4</c:v>
                </c:pt>
                <c:pt idx="23">
                  <c:v>5.9</c:v>
                </c:pt>
                <c:pt idx="24">
                  <c:v>3.4</c:v>
                </c:pt>
                <c:pt idx="25">
                  <c:v>5.8</c:v>
                </c:pt>
                <c:pt idx="26">
                  <c:v>2.1</c:v>
                </c:pt>
                <c:pt idx="27">
                  <c:v>28.7</c:v>
                </c:pt>
                <c:pt idx="28">
                  <c:v>2.9</c:v>
                </c:pt>
                <c:pt idx="29">
                  <c:v>11.5</c:v>
                </c:pt>
                <c:pt idx="30">
                  <c:v>7.8</c:v>
                </c:pt>
                <c:pt idx="31">
                  <c:v>2.4</c:v>
                </c:pt>
                <c:pt idx="32">
                  <c:v>3.7</c:v>
                </c:pt>
                <c:pt idx="33">
                  <c:v>1.2</c:v>
                </c:pt>
                <c:pt idx="34">
                  <c:v>10.5</c:v>
                </c:pt>
                <c:pt idx="35">
                  <c:v>2.8</c:v>
                </c:pt>
                <c:pt idx="36">
                  <c:v>4.2</c:v>
                </c:pt>
                <c:pt idx="37">
                  <c:v>3.7</c:v>
                </c:pt>
                <c:pt idx="38">
                  <c:v>12.3</c:v>
                </c:pt>
              </c:numCache>
            </c:numRef>
          </c:val>
          <c:smooth val="0"/>
          <c:extLst>
            <c:ext xmlns:c16="http://schemas.microsoft.com/office/drawing/2014/chart" uri="{C3380CC4-5D6E-409C-BE32-E72D297353CC}">
              <c16:uniqueId val="{00000000-8466-6A41-801E-8FF6F24A3372}"/>
            </c:ext>
          </c:extLst>
        </c:ser>
        <c:ser>
          <c:idx val="1"/>
          <c:order val="1"/>
          <c:tx>
            <c:strRef>
              <c:f>Sheet12!$BS$23</c:f>
              <c:strCache>
                <c:ptCount val="1"/>
                <c:pt idx="0">
                  <c:v>Sum of Interest_Rate_Percent</c:v>
                </c:pt>
              </c:strCache>
            </c:strRef>
          </c:tx>
          <c:spPr>
            <a:solidFill>
              <a:schemeClr val="accent2"/>
            </a:solidFill>
            <a:ln>
              <a:noFill/>
            </a:ln>
            <a:effectLst/>
            <a:sp3d/>
          </c:spPr>
          <c:cat>
            <c:strRef>
              <c:f>Sheet12!$BQ$24:$BQ$63</c:f>
              <c:strCache>
                <c:ptCount val="39"/>
                <c:pt idx="0">
                  <c:v>Argentina</c:v>
                </c:pt>
                <c:pt idx="1">
                  <c:v>Australia</c:v>
                </c:pt>
                <c:pt idx="2">
                  <c:v>Brazil</c:v>
                </c:pt>
                <c:pt idx="3">
                  <c:v>Canada</c:v>
                </c:pt>
                <c:pt idx="4">
                  <c:v>Chile</c:v>
                </c:pt>
                <c:pt idx="5">
                  <c:v>China</c:v>
                </c:pt>
                <c:pt idx="6">
                  <c:v>Colombia</c:v>
                </c:pt>
                <c:pt idx="7">
                  <c:v>Denmark</c:v>
                </c:pt>
                <c:pt idx="8">
                  <c:v>Egypt</c:v>
                </c:pt>
                <c:pt idx="9">
                  <c:v>France</c:v>
                </c:pt>
                <c:pt idx="10">
                  <c:v>Germany</c:v>
                </c:pt>
                <c:pt idx="11">
                  <c:v>Hong Kong</c:v>
                </c:pt>
                <c:pt idx="12">
                  <c:v>India</c:v>
                </c:pt>
                <c:pt idx="13">
                  <c:v>Indonesia</c:v>
                </c:pt>
                <c:pt idx="14">
                  <c:v>Israel</c:v>
                </c:pt>
                <c:pt idx="15">
                  <c:v>Italy</c:v>
                </c:pt>
                <c:pt idx="16">
                  <c:v>Japan</c:v>
                </c:pt>
                <c:pt idx="17">
                  <c:v>Malaysia</c:v>
                </c:pt>
                <c:pt idx="18">
                  <c:v>Mexico</c:v>
                </c:pt>
                <c:pt idx="19">
                  <c:v>Netherlands</c:v>
                </c:pt>
                <c:pt idx="20">
                  <c:v>Nigeria</c:v>
                </c:pt>
                <c:pt idx="21">
                  <c:v>Norway</c:v>
                </c:pt>
                <c:pt idx="22">
                  <c:v>Peru</c:v>
                </c:pt>
                <c:pt idx="23">
                  <c:v>Philippines</c:v>
                </c:pt>
                <c:pt idx="24">
                  <c:v>Russia</c:v>
                </c:pt>
                <c:pt idx="25">
                  <c:v>Saudi Arabia</c:v>
                </c:pt>
                <c:pt idx="26">
                  <c:v>Singapore</c:v>
                </c:pt>
                <c:pt idx="27">
                  <c:v>South Africa</c:v>
                </c:pt>
                <c:pt idx="28">
                  <c:v>South Korea</c:v>
                </c:pt>
                <c:pt idx="29">
                  <c:v>Spain</c:v>
                </c:pt>
                <c:pt idx="30">
                  <c:v>Sweden</c:v>
                </c:pt>
                <c:pt idx="31">
                  <c:v>Switzerland</c:v>
                </c:pt>
                <c:pt idx="32">
                  <c:v>Taiwan</c:v>
                </c:pt>
                <c:pt idx="33">
                  <c:v>Thailand</c:v>
                </c:pt>
                <c:pt idx="34">
                  <c:v>Turkey</c:v>
                </c:pt>
                <c:pt idx="35">
                  <c:v>UAE</c:v>
                </c:pt>
                <c:pt idx="36">
                  <c:v>United Kingdom</c:v>
                </c:pt>
                <c:pt idx="37">
                  <c:v>United States</c:v>
                </c:pt>
                <c:pt idx="38">
                  <c:v>Vietnam</c:v>
                </c:pt>
              </c:strCache>
            </c:strRef>
          </c:cat>
          <c:val>
            <c:numRef>
              <c:f>Sheet12!$BS$24:$BS$63</c:f>
              <c:numCache>
                <c:formatCode>General</c:formatCode>
                <c:ptCount val="39"/>
                <c:pt idx="0">
                  <c:v>133</c:v>
                </c:pt>
                <c:pt idx="1">
                  <c:v>4.3499999999999996</c:v>
                </c:pt>
                <c:pt idx="2">
                  <c:v>10.75</c:v>
                </c:pt>
                <c:pt idx="3">
                  <c:v>4.75</c:v>
                </c:pt>
                <c:pt idx="4">
                  <c:v>5.75</c:v>
                </c:pt>
                <c:pt idx="5">
                  <c:v>3.1</c:v>
                </c:pt>
                <c:pt idx="6">
                  <c:v>10.75</c:v>
                </c:pt>
                <c:pt idx="7">
                  <c:v>3.6</c:v>
                </c:pt>
                <c:pt idx="8">
                  <c:v>27.25</c:v>
                </c:pt>
                <c:pt idx="9">
                  <c:v>4.5</c:v>
                </c:pt>
                <c:pt idx="10">
                  <c:v>4.5</c:v>
                </c:pt>
                <c:pt idx="11">
                  <c:v>5.75</c:v>
                </c:pt>
                <c:pt idx="12">
                  <c:v>6.5</c:v>
                </c:pt>
                <c:pt idx="13">
                  <c:v>6</c:v>
                </c:pt>
                <c:pt idx="14">
                  <c:v>4.75</c:v>
                </c:pt>
                <c:pt idx="15">
                  <c:v>4.5</c:v>
                </c:pt>
                <c:pt idx="16">
                  <c:v>-0.1</c:v>
                </c:pt>
                <c:pt idx="17">
                  <c:v>3</c:v>
                </c:pt>
                <c:pt idx="18">
                  <c:v>11</c:v>
                </c:pt>
                <c:pt idx="19">
                  <c:v>4.5</c:v>
                </c:pt>
                <c:pt idx="20">
                  <c:v>18.75</c:v>
                </c:pt>
                <c:pt idx="21">
                  <c:v>4.5</c:v>
                </c:pt>
                <c:pt idx="22">
                  <c:v>5.75</c:v>
                </c:pt>
                <c:pt idx="23">
                  <c:v>6.5</c:v>
                </c:pt>
                <c:pt idx="24">
                  <c:v>16</c:v>
                </c:pt>
                <c:pt idx="25">
                  <c:v>6</c:v>
                </c:pt>
                <c:pt idx="26">
                  <c:v>3.5</c:v>
                </c:pt>
                <c:pt idx="27">
                  <c:v>8.25</c:v>
                </c:pt>
                <c:pt idx="28">
                  <c:v>3.5</c:v>
                </c:pt>
                <c:pt idx="29">
                  <c:v>4.5</c:v>
                </c:pt>
                <c:pt idx="30">
                  <c:v>3.75</c:v>
                </c:pt>
                <c:pt idx="31">
                  <c:v>1.25</c:v>
                </c:pt>
                <c:pt idx="32">
                  <c:v>1.5</c:v>
                </c:pt>
                <c:pt idx="33">
                  <c:v>2.5</c:v>
                </c:pt>
                <c:pt idx="34">
                  <c:v>50</c:v>
                </c:pt>
                <c:pt idx="35">
                  <c:v>5.4</c:v>
                </c:pt>
                <c:pt idx="36">
                  <c:v>5.25</c:v>
                </c:pt>
                <c:pt idx="37">
                  <c:v>5.5</c:v>
                </c:pt>
                <c:pt idx="38">
                  <c:v>4.5</c:v>
                </c:pt>
              </c:numCache>
            </c:numRef>
          </c:val>
          <c:smooth val="0"/>
          <c:extLst>
            <c:ext xmlns:c16="http://schemas.microsoft.com/office/drawing/2014/chart" uri="{C3380CC4-5D6E-409C-BE32-E72D297353CC}">
              <c16:uniqueId val="{00000001-8466-6A41-801E-8FF6F24A3372}"/>
            </c:ext>
          </c:extLst>
        </c:ser>
        <c:dLbls>
          <c:showLegendKey val="0"/>
          <c:showVal val="0"/>
          <c:showCatName val="0"/>
          <c:showSerName val="0"/>
          <c:showPercent val="0"/>
          <c:showBubbleSize val="0"/>
        </c:dLbls>
        <c:axId val="175926943"/>
        <c:axId val="134647615"/>
        <c:axId val="185042031"/>
      </c:line3DChart>
      <c:catAx>
        <c:axId val="17592694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647615"/>
        <c:crosses val="autoZero"/>
        <c:auto val="1"/>
        <c:lblAlgn val="ctr"/>
        <c:lblOffset val="100"/>
        <c:noMultiLvlLbl val="0"/>
      </c:catAx>
      <c:valAx>
        <c:axId val="1346476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926943"/>
        <c:crosses val="autoZero"/>
        <c:crossBetween val="between"/>
      </c:valAx>
      <c:serAx>
        <c:axId val="185042031"/>
        <c:scaling>
          <c:orientation val="minMax"/>
        </c:scaling>
        <c:delete val="0"/>
        <c:axPos val="b"/>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647615"/>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[Saravanan Milestone.xlsx]Sheet12!PivotTable17</c:name>
    <c:fmtId val="2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Sheet12!$CU$25</c:f>
              <c:strCache>
                <c:ptCount val="1"/>
                <c:pt idx="0">
                  <c:v>Total</c:v>
                </c:pt>
              </c:strCache>
            </c:strRef>
          </c:tx>
          <c:spPr>
            <a:solidFill>
              <a:schemeClr val="accent1"/>
            </a:solidFill>
            <a:ln>
              <a:noFill/>
            </a:ln>
            <a:effectLst/>
            <a:sp3d/>
          </c:spPr>
          <c:invertIfNegative val="0"/>
          <c:cat>
            <c:strRef>
              <c:f>Sheet12!$CT$26:$CT$65</c:f>
              <c:strCache>
                <c:ptCount val="39"/>
                <c:pt idx="0">
                  <c:v>Argentina</c:v>
                </c:pt>
                <c:pt idx="1">
                  <c:v>Australia</c:v>
                </c:pt>
                <c:pt idx="2">
                  <c:v>Brazil</c:v>
                </c:pt>
                <c:pt idx="3">
                  <c:v>Canada</c:v>
                </c:pt>
                <c:pt idx="4">
                  <c:v>Chile</c:v>
                </c:pt>
                <c:pt idx="5">
                  <c:v>China</c:v>
                </c:pt>
                <c:pt idx="6">
                  <c:v>Colombia</c:v>
                </c:pt>
                <c:pt idx="7">
                  <c:v>Denmark</c:v>
                </c:pt>
                <c:pt idx="8">
                  <c:v>Egypt</c:v>
                </c:pt>
                <c:pt idx="9">
                  <c:v>France</c:v>
                </c:pt>
                <c:pt idx="10">
                  <c:v>Germany</c:v>
                </c:pt>
                <c:pt idx="11">
                  <c:v>Hong Kong</c:v>
                </c:pt>
                <c:pt idx="12">
                  <c:v>India</c:v>
                </c:pt>
                <c:pt idx="13">
                  <c:v>Indonesia</c:v>
                </c:pt>
                <c:pt idx="14">
                  <c:v>Israel</c:v>
                </c:pt>
                <c:pt idx="15">
                  <c:v>Italy</c:v>
                </c:pt>
                <c:pt idx="16">
                  <c:v>Japan</c:v>
                </c:pt>
                <c:pt idx="17">
                  <c:v>Malaysia</c:v>
                </c:pt>
                <c:pt idx="18">
                  <c:v>Mexico</c:v>
                </c:pt>
                <c:pt idx="19">
                  <c:v>Netherlands</c:v>
                </c:pt>
                <c:pt idx="20">
                  <c:v>Nigeria</c:v>
                </c:pt>
                <c:pt idx="21">
                  <c:v>Norway</c:v>
                </c:pt>
                <c:pt idx="22">
                  <c:v>Peru</c:v>
                </c:pt>
                <c:pt idx="23">
                  <c:v>Philippines</c:v>
                </c:pt>
                <c:pt idx="24">
                  <c:v>Russia</c:v>
                </c:pt>
                <c:pt idx="25">
                  <c:v>Saudi Arabia</c:v>
                </c:pt>
                <c:pt idx="26">
                  <c:v>Singapore</c:v>
                </c:pt>
                <c:pt idx="27">
                  <c:v>South Africa</c:v>
                </c:pt>
                <c:pt idx="28">
                  <c:v>South Korea</c:v>
                </c:pt>
                <c:pt idx="29">
                  <c:v>Spain</c:v>
                </c:pt>
                <c:pt idx="30">
                  <c:v>Sweden</c:v>
                </c:pt>
                <c:pt idx="31">
                  <c:v>Switzerland</c:v>
                </c:pt>
                <c:pt idx="32">
                  <c:v>Taiwan</c:v>
                </c:pt>
                <c:pt idx="33">
                  <c:v>Thailand</c:v>
                </c:pt>
                <c:pt idx="34">
                  <c:v>Turkey</c:v>
                </c:pt>
                <c:pt idx="35">
                  <c:v>UAE</c:v>
                </c:pt>
                <c:pt idx="36">
                  <c:v>United Kingdom</c:v>
                </c:pt>
                <c:pt idx="37">
                  <c:v>United States</c:v>
                </c:pt>
                <c:pt idx="38">
                  <c:v>Vietnam</c:v>
                </c:pt>
              </c:strCache>
            </c:strRef>
          </c:cat>
          <c:val>
            <c:numRef>
              <c:f>Sheet12!$CU$26:$CU$65</c:f>
              <c:numCache>
                <c:formatCode>General</c:formatCode>
                <c:ptCount val="39"/>
                <c:pt idx="0">
                  <c:v>78.900000000000006</c:v>
                </c:pt>
                <c:pt idx="1">
                  <c:v>45.1</c:v>
                </c:pt>
                <c:pt idx="2">
                  <c:v>87.7</c:v>
                </c:pt>
                <c:pt idx="3">
                  <c:v>106.7</c:v>
                </c:pt>
                <c:pt idx="4">
                  <c:v>37.799999999999997</c:v>
                </c:pt>
                <c:pt idx="5">
                  <c:v>77.099999999999994</c:v>
                </c:pt>
                <c:pt idx="6">
                  <c:v>56.7</c:v>
                </c:pt>
                <c:pt idx="7">
                  <c:v>29.8</c:v>
                </c:pt>
                <c:pt idx="8">
                  <c:v>89.7</c:v>
                </c:pt>
                <c:pt idx="9">
                  <c:v>111.8</c:v>
                </c:pt>
                <c:pt idx="10">
                  <c:v>66.3</c:v>
                </c:pt>
                <c:pt idx="11">
                  <c:v>0.1</c:v>
                </c:pt>
                <c:pt idx="12">
                  <c:v>84.2</c:v>
                </c:pt>
                <c:pt idx="13">
                  <c:v>39.799999999999997</c:v>
                </c:pt>
                <c:pt idx="14">
                  <c:v>60.9</c:v>
                </c:pt>
                <c:pt idx="15">
                  <c:v>144.4</c:v>
                </c:pt>
                <c:pt idx="16">
                  <c:v>263.10000000000002</c:v>
                </c:pt>
                <c:pt idx="17">
                  <c:v>70.099999999999994</c:v>
                </c:pt>
                <c:pt idx="18">
                  <c:v>54.7</c:v>
                </c:pt>
                <c:pt idx="19">
                  <c:v>52.4</c:v>
                </c:pt>
                <c:pt idx="20">
                  <c:v>37.1</c:v>
                </c:pt>
                <c:pt idx="21">
                  <c:v>45.7</c:v>
                </c:pt>
                <c:pt idx="22">
                  <c:v>34.200000000000003</c:v>
                </c:pt>
                <c:pt idx="23">
                  <c:v>63.5</c:v>
                </c:pt>
                <c:pt idx="24">
                  <c:v>21.4</c:v>
                </c:pt>
                <c:pt idx="25">
                  <c:v>26.7</c:v>
                </c:pt>
                <c:pt idx="26">
                  <c:v>130.1</c:v>
                </c:pt>
                <c:pt idx="27">
                  <c:v>71.099999999999994</c:v>
                </c:pt>
                <c:pt idx="28">
                  <c:v>54.6</c:v>
                </c:pt>
                <c:pt idx="29">
                  <c:v>107.7</c:v>
                </c:pt>
                <c:pt idx="30">
                  <c:v>35.1</c:v>
                </c:pt>
                <c:pt idx="31">
                  <c:v>41</c:v>
                </c:pt>
                <c:pt idx="32">
                  <c:v>28.7</c:v>
                </c:pt>
                <c:pt idx="33">
                  <c:v>61.4</c:v>
                </c:pt>
                <c:pt idx="34">
                  <c:v>32.1</c:v>
                </c:pt>
                <c:pt idx="35">
                  <c:v>34.5</c:v>
                </c:pt>
                <c:pt idx="36">
                  <c:v>101.2</c:v>
                </c:pt>
                <c:pt idx="37">
                  <c:v>126.4</c:v>
                </c:pt>
                <c:pt idx="38">
                  <c:v>43.1</c:v>
                </c:pt>
              </c:numCache>
            </c:numRef>
          </c:val>
          <c:extLst>
            <c:ext xmlns:c16="http://schemas.microsoft.com/office/drawing/2014/chart" uri="{C3380CC4-5D6E-409C-BE32-E72D297353CC}">
              <c16:uniqueId val="{00000000-3088-D34B-9ACC-5567A8DBA6FF}"/>
            </c:ext>
          </c:extLst>
        </c:ser>
        <c:dLbls>
          <c:showLegendKey val="0"/>
          <c:showVal val="0"/>
          <c:showCatName val="0"/>
          <c:showSerName val="0"/>
          <c:showPercent val="0"/>
          <c:showBubbleSize val="0"/>
        </c:dLbls>
        <c:gapWidth val="150"/>
        <c:shape val="box"/>
        <c:axId val="130419503"/>
        <c:axId val="131459455"/>
        <c:axId val="0"/>
      </c:bar3DChart>
      <c:catAx>
        <c:axId val="13041950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459455"/>
        <c:crosses val="autoZero"/>
        <c:auto val="1"/>
        <c:lblAlgn val="ctr"/>
        <c:lblOffset val="100"/>
        <c:noMultiLvlLbl val="0"/>
      </c:catAx>
      <c:valAx>
        <c:axId val="13145945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4195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[Saravanan Milestone.xlsx]Sheet12!PivotTable18</c:name>
    <c:fmtId val="27"/>
  </c:pivotSource>
  <c:chart>
    <c:autoTitleDeleted val="0"/>
    <c:pivotFmts>
      <c:pivotFmt>
        <c:idx val="0"/>
        <c:spPr>
          <a:solidFill>
            <a:schemeClr val="accent1"/>
          </a:solidFill>
          <a:ln/>
          <a:effectLst/>
          <a:sp3d/>
        </c:spPr>
        <c:marker>
          <c:symbol val="none"/>
        </c:marker>
        <c:dLbl>
          <c:idx val="0"/>
          <c:delete val="1"/>
          <c:extLst>
            <c:ext xmlns:c15="http://schemas.microsoft.com/office/drawing/2012/chart" uri="{CE6537A1-D6FC-4f65-9D91-7224C49458BB}"/>
          </c:extLst>
        </c:dLbl>
      </c:pivotFmt>
      <c:pivotFmt>
        <c:idx val="1"/>
        <c:spPr>
          <a:solidFill>
            <a:schemeClr val="accent1"/>
          </a:solidFill>
          <a:ln/>
          <a:effectLst/>
          <a:sp3d/>
        </c:spPr>
        <c:marker>
          <c:symbol val="none"/>
        </c:marker>
        <c:dLbl>
          <c:idx val="0"/>
          <c:delete val="1"/>
          <c:extLst>
            <c:ext xmlns:c15="http://schemas.microsoft.com/office/drawing/2012/chart" uri="{CE6537A1-D6FC-4f65-9D91-7224C49458BB}"/>
          </c:extLst>
        </c:dLbl>
      </c:pivotFmt>
      <c:pivotFmt>
        <c:idx val="2"/>
        <c:spPr>
          <a:solidFill>
            <a:schemeClr val="accent1"/>
          </a:solidFill>
          <a:ln/>
          <a:effectLst/>
          <a:sp3d/>
        </c:spPr>
        <c:marker>
          <c:symbol val="none"/>
        </c:marker>
        <c:dLbl>
          <c:idx val="0"/>
          <c:delete val="1"/>
          <c:extLst>
            <c:ext xmlns:c15="http://schemas.microsoft.com/office/drawing/2012/chart" uri="{CE6537A1-D6FC-4f65-9D91-7224C49458BB}"/>
          </c:extLst>
        </c:dLbl>
      </c:pivotFmt>
      <c:pivotFmt>
        <c:idx val="3"/>
        <c:spPr>
          <a:solidFill>
            <a:schemeClr val="accent1"/>
          </a:solidFill>
          <a:ln/>
          <a:effectLst/>
          <a:sp3d/>
        </c:spPr>
      </c:pivotFmt>
      <c:pivotFmt>
        <c:idx val="4"/>
        <c:spPr>
          <a:solidFill>
            <a:schemeClr val="accent2"/>
          </a:solidFill>
          <a:ln/>
          <a:effectLst/>
          <a:sp3d/>
        </c:spPr>
      </c:pivotFmt>
      <c:pivotFmt>
        <c:idx val="5"/>
        <c:spPr>
          <a:solidFill>
            <a:schemeClr val="accent3"/>
          </a:solidFill>
          <a:ln/>
          <a:effectLst/>
          <a:sp3d/>
        </c:spPr>
      </c:pivotFmt>
      <c:pivotFmt>
        <c:idx val="6"/>
        <c:spPr>
          <a:solidFill>
            <a:schemeClr val="accent4"/>
          </a:solidFill>
          <a:ln/>
          <a:effectLst/>
          <a:sp3d/>
        </c:spPr>
      </c:pivotFmt>
      <c:pivotFmt>
        <c:idx val="7"/>
        <c:spPr>
          <a:solidFill>
            <a:schemeClr val="accent5"/>
          </a:solidFill>
          <a:ln/>
          <a:effectLst/>
          <a:sp3d/>
        </c:spPr>
      </c:pivotFmt>
      <c:pivotFmt>
        <c:idx val="8"/>
        <c:spPr>
          <a:solidFill>
            <a:schemeClr val="accent6"/>
          </a:solidFill>
          <a:ln/>
          <a:effectLst/>
          <a:sp3d/>
        </c:spPr>
      </c:pivotFmt>
      <c:pivotFmt>
        <c:idx val="9"/>
        <c:spPr>
          <a:solidFill>
            <a:schemeClr val="accent1">
              <a:lumMod val="60000"/>
            </a:schemeClr>
          </a:solidFill>
          <a:ln/>
          <a:effectLst/>
          <a:sp3d/>
        </c:spPr>
      </c:pivotFmt>
      <c:pivotFmt>
        <c:idx val="10"/>
        <c:spPr>
          <a:solidFill>
            <a:schemeClr val="accent2">
              <a:lumMod val="60000"/>
            </a:schemeClr>
          </a:solidFill>
          <a:ln/>
          <a:effectLst/>
          <a:sp3d/>
        </c:spPr>
      </c:pivotFmt>
      <c:pivotFmt>
        <c:idx val="11"/>
        <c:spPr>
          <a:solidFill>
            <a:schemeClr val="accent3">
              <a:lumMod val="60000"/>
            </a:schemeClr>
          </a:solidFill>
          <a:ln/>
          <a:effectLst/>
          <a:sp3d/>
        </c:spPr>
      </c:pivotFmt>
      <c:pivotFmt>
        <c:idx val="12"/>
        <c:spPr>
          <a:solidFill>
            <a:schemeClr val="accent4">
              <a:lumMod val="60000"/>
            </a:schemeClr>
          </a:solidFill>
          <a:ln/>
          <a:effectLst/>
          <a:sp3d/>
        </c:spPr>
      </c:pivotFmt>
      <c:pivotFmt>
        <c:idx val="13"/>
        <c:spPr>
          <a:solidFill>
            <a:schemeClr val="accent5">
              <a:lumMod val="60000"/>
            </a:schemeClr>
          </a:solidFill>
          <a:ln/>
          <a:effectLst/>
          <a:sp3d/>
        </c:spPr>
      </c:pivotFmt>
      <c:pivotFmt>
        <c:idx val="14"/>
        <c:spPr>
          <a:solidFill>
            <a:schemeClr val="accent6">
              <a:lumMod val="60000"/>
            </a:schemeClr>
          </a:solidFill>
          <a:ln/>
          <a:effectLst/>
          <a:sp3d/>
        </c:spPr>
      </c:pivotFmt>
      <c:pivotFmt>
        <c:idx val="15"/>
        <c:spPr>
          <a:solidFill>
            <a:schemeClr val="accent1">
              <a:lumMod val="80000"/>
              <a:lumOff val="20000"/>
            </a:schemeClr>
          </a:solidFill>
          <a:ln/>
          <a:effectLst/>
          <a:sp3d/>
        </c:spPr>
      </c:pivotFmt>
      <c:pivotFmt>
        <c:idx val="16"/>
        <c:spPr>
          <a:solidFill>
            <a:schemeClr val="accent2">
              <a:lumMod val="80000"/>
              <a:lumOff val="20000"/>
            </a:schemeClr>
          </a:solidFill>
          <a:ln/>
          <a:effectLst/>
          <a:sp3d/>
        </c:spPr>
      </c:pivotFmt>
      <c:pivotFmt>
        <c:idx val="17"/>
        <c:spPr>
          <a:solidFill>
            <a:schemeClr val="accent3">
              <a:lumMod val="80000"/>
              <a:lumOff val="20000"/>
            </a:schemeClr>
          </a:solidFill>
          <a:ln/>
          <a:effectLst/>
          <a:sp3d/>
        </c:spPr>
      </c:pivotFmt>
      <c:pivotFmt>
        <c:idx val="18"/>
        <c:spPr>
          <a:solidFill>
            <a:schemeClr val="accent2"/>
          </a:solidFill>
          <a:ln/>
          <a:effectLst/>
          <a:sp3d/>
        </c:spPr>
        <c:marker>
          <c:symbol val="none"/>
        </c:marker>
        <c:dLbl>
          <c:idx val="0"/>
          <c:delete val="1"/>
          <c:extLst>
            <c:ext xmlns:c15="http://schemas.microsoft.com/office/drawing/2012/chart" uri="{CE6537A1-D6FC-4f65-9D91-7224C49458BB}"/>
          </c:extLst>
        </c:dLbl>
      </c:pivotFmt>
      <c:pivotFmt>
        <c:idx val="19"/>
        <c:spPr>
          <a:solidFill>
            <a:schemeClr val="accent1"/>
          </a:solidFill>
          <a:ln/>
          <a:effectLst/>
          <a:sp3d/>
        </c:spPr>
        <c:marker>
          <c:symbol val="none"/>
        </c:marker>
        <c:dLbl>
          <c:idx val="0"/>
          <c:delete val="1"/>
          <c:extLst>
            <c:ext xmlns:c15="http://schemas.microsoft.com/office/drawing/2012/chart" uri="{CE6537A1-D6FC-4f65-9D91-7224C49458BB}"/>
          </c:extLst>
        </c:dLbl>
      </c:pivotFmt>
      <c:pivotFmt>
        <c:idx val="20"/>
        <c:spPr>
          <a:solidFill>
            <a:schemeClr val="accent1"/>
          </a:solidFill>
          <a:ln/>
          <a:effectLst/>
          <a:sp3d/>
        </c:spPr>
      </c:pivotFmt>
      <c:pivotFmt>
        <c:idx val="21"/>
        <c:spPr>
          <a:solidFill>
            <a:schemeClr val="accent2"/>
          </a:solidFill>
          <a:ln/>
          <a:effectLst/>
          <a:sp3d/>
        </c:spPr>
      </c:pivotFmt>
      <c:pivotFmt>
        <c:idx val="22"/>
        <c:spPr>
          <a:solidFill>
            <a:schemeClr val="accent3"/>
          </a:solidFill>
          <a:ln/>
          <a:effectLst/>
          <a:sp3d/>
        </c:spPr>
      </c:pivotFmt>
      <c:pivotFmt>
        <c:idx val="23"/>
        <c:spPr>
          <a:solidFill>
            <a:schemeClr val="accent4"/>
          </a:solidFill>
          <a:ln/>
          <a:effectLst/>
          <a:sp3d/>
        </c:spPr>
      </c:pivotFmt>
      <c:pivotFmt>
        <c:idx val="24"/>
        <c:spPr>
          <a:solidFill>
            <a:schemeClr val="accent5"/>
          </a:solidFill>
          <a:ln/>
          <a:effectLst/>
          <a:sp3d/>
        </c:spPr>
      </c:pivotFmt>
      <c:pivotFmt>
        <c:idx val="25"/>
        <c:spPr>
          <a:solidFill>
            <a:schemeClr val="accent6"/>
          </a:solidFill>
          <a:ln/>
          <a:effectLst/>
          <a:sp3d/>
        </c:spPr>
      </c:pivotFmt>
      <c:pivotFmt>
        <c:idx val="26"/>
        <c:spPr>
          <a:solidFill>
            <a:schemeClr val="accent1">
              <a:lumMod val="60000"/>
            </a:schemeClr>
          </a:solidFill>
          <a:ln/>
          <a:effectLst/>
          <a:sp3d/>
        </c:spPr>
      </c:pivotFmt>
      <c:pivotFmt>
        <c:idx val="27"/>
        <c:spPr>
          <a:solidFill>
            <a:schemeClr val="accent2">
              <a:lumMod val="60000"/>
            </a:schemeClr>
          </a:solidFill>
          <a:ln/>
          <a:effectLst/>
          <a:sp3d/>
        </c:spPr>
      </c:pivotFmt>
      <c:pivotFmt>
        <c:idx val="28"/>
        <c:spPr>
          <a:solidFill>
            <a:schemeClr val="accent3">
              <a:lumMod val="60000"/>
            </a:schemeClr>
          </a:solidFill>
          <a:ln/>
          <a:effectLst/>
          <a:sp3d/>
        </c:spPr>
      </c:pivotFmt>
      <c:pivotFmt>
        <c:idx val="29"/>
        <c:spPr>
          <a:solidFill>
            <a:schemeClr val="accent4">
              <a:lumMod val="60000"/>
            </a:schemeClr>
          </a:solidFill>
          <a:ln/>
          <a:effectLst/>
          <a:sp3d/>
        </c:spPr>
      </c:pivotFmt>
      <c:pivotFmt>
        <c:idx val="30"/>
        <c:spPr>
          <a:solidFill>
            <a:schemeClr val="accent5">
              <a:lumMod val="60000"/>
            </a:schemeClr>
          </a:solidFill>
          <a:ln/>
          <a:effectLst/>
          <a:sp3d/>
        </c:spPr>
      </c:pivotFmt>
      <c:pivotFmt>
        <c:idx val="31"/>
        <c:spPr>
          <a:solidFill>
            <a:schemeClr val="accent6">
              <a:lumMod val="60000"/>
            </a:schemeClr>
          </a:solidFill>
          <a:ln/>
          <a:effectLst/>
          <a:sp3d/>
        </c:spPr>
      </c:pivotFmt>
      <c:pivotFmt>
        <c:idx val="32"/>
        <c:spPr>
          <a:solidFill>
            <a:schemeClr val="accent1">
              <a:lumMod val="80000"/>
              <a:lumOff val="20000"/>
            </a:schemeClr>
          </a:solidFill>
          <a:ln/>
          <a:effectLst/>
          <a:sp3d/>
        </c:spPr>
      </c:pivotFmt>
      <c:pivotFmt>
        <c:idx val="33"/>
        <c:spPr>
          <a:solidFill>
            <a:schemeClr val="accent2">
              <a:lumMod val="80000"/>
              <a:lumOff val="20000"/>
            </a:schemeClr>
          </a:solidFill>
          <a:ln/>
          <a:effectLst/>
          <a:sp3d/>
        </c:spPr>
      </c:pivotFmt>
      <c:pivotFmt>
        <c:idx val="34"/>
        <c:spPr>
          <a:solidFill>
            <a:schemeClr val="accent3">
              <a:lumMod val="80000"/>
              <a:lumOff val="20000"/>
            </a:schemeClr>
          </a:solidFill>
          <a:ln/>
          <a:effectLst/>
          <a:sp3d/>
        </c:spPr>
      </c:pivotFmt>
      <c:pivotFmt>
        <c:idx val="35"/>
        <c:spPr>
          <a:solidFill>
            <a:schemeClr val="accent2"/>
          </a:solidFill>
          <a:ln/>
          <a:effectLst/>
          <a:sp3d/>
        </c:spPr>
        <c:marker>
          <c:symbol val="none"/>
        </c:marker>
        <c:dLbl>
          <c:idx val="0"/>
          <c:delete val="1"/>
          <c:extLst>
            <c:ext xmlns:c15="http://schemas.microsoft.com/office/drawing/2012/chart" uri="{CE6537A1-D6FC-4f65-9D91-7224C49458BB}"/>
          </c:extLst>
        </c:dLbl>
      </c:pivotFmt>
      <c:pivotFmt>
        <c:idx val="36"/>
        <c:spPr>
          <a:solidFill>
            <a:schemeClr val="accent1"/>
          </a:solidFill>
          <a:ln/>
          <a:effectLst/>
          <a:sp3d/>
        </c:spPr>
        <c:marker>
          <c:symbol val="none"/>
        </c:marker>
        <c:dLbl>
          <c:idx val="0"/>
          <c:delete val="1"/>
          <c:extLst>
            <c:ext xmlns:c15="http://schemas.microsoft.com/office/drawing/2012/chart" uri="{CE6537A1-D6FC-4f65-9D91-7224C49458BB}"/>
          </c:extLst>
        </c:dLbl>
      </c:pivotFmt>
      <c:pivotFmt>
        <c:idx val="37"/>
        <c:spPr>
          <a:solidFill>
            <a:schemeClr val="accent1"/>
          </a:solidFill>
          <a:ln/>
          <a:effectLst/>
          <a:sp3d/>
        </c:spPr>
      </c:pivotFmt>
      <c:pivotFmt>
        <c:idx val="38"/>
        <c:spPr>
          <a:solidFill>
            <a:schemeClr val="accent2"/>
          </a:solidFill>
          <a:ln/>
          <a:effectLst/>
          <a:sp3d/>
        </c:spPr>
      </c:pivotFmt>
      <c:pivotFmt>
        <c:idx val="39"/>
        <c:spPr>
          <a:solidFill>
            <a:schemeClr val="accent3"/>
          </a:solidFill>
          <a:ln/>
          <a:effectLst/>
          <a:sp3d/>
        </c:spPr>
      </c:pivotFmt>
      <c:pivotFmt>
        <c:idx val="40"/>
        <c:spPr>
          <a:solidFill>
            <a:schemeClr val="accent4"/>
          </a:solidFill>
          <a:ln/>
          <a:effectLst/>
          <a:sp3d/>
        </c:spPr>
      </c:pivotFmt>
      <c:pivotFmt>
        <c:idx val="41"/>
        <c:spPr>
          <a:solidFill>
            <a:schemeClr val="accent5"/>
          </a:solidFill>
          <a:ln/>
          <a:effectLst/>
          <a:sp3d/>
        </c:spPr>
      </c:pivotFmt>
      <c:pivotFmt>
        <c:idx val="42"/>
        <c:spPr>
          <a:solidFill>
            <a:schemeClr val="accent6"/>
          </a:solidFill>
          <a:ln/>
          <a:effectLst/>
          <a:sp3d/>
        </c:spPr>
      </c:pivotFmt>
      <c:pivotFmt>
        <c:idx val="43"/>
        <c:spPr>
          <a:solidFill>
            <a:schemeClr val="accent1">
              <a:lumMod val="60000"/>
            </a:schemeClr>
          </a:solidFill>
          <a:ln/>
          <a:effectLst/>
          <a:sp3d/>
        </c:spPr>
      </c:pivotFmt>
      <c:pivotFmt>
        <c:idx val="44"/>
        <c:spPr>
          <a:solidFill>
            <a:schemeClr val="accent2">
              <a:lumMod val="60000"/>
            </a:schemeClr>
          </a:solidFill>
          <a:ln/>
          <a:effectLst/>
          <a:sp3d/>
        </c:spPr>
      </c:pivotFmt>
      <c:pivotFmt>
        <c:idx val="45"/>
        <c:spPr>
          <a:solidFill>
            <a:schemeClr val="accent3">
              <a:lumMod val="60000"/>
            </a:schemeClr>
          </a:solidFill>
          <a:ln/>
          <a:effectLst/>
          <a:sp3d/>
        </c:spPr>
      </c:pivotFmt>
      <c:pivotFmt>
        <c:idx val="46"/>
        <c:spPr>
          <a:solidFill>
            <a:schemeClr val="accent4">
              <a:lumMod val="60000"/>
            </a:schemeClr>
          </a:solidFill>
          <a:ln/>
          <a:effectLst/>
          <a:sp3d/>
        </c:spPr>
      </c:pivotFmt>
      <c:pivotFmt>
        <c:idx val="47"/>
        <c:spPr>
          <a:solidFill>
            <a:schemeClr val="accent5">
              <a:lumMod val="60000"/>
            </a:schemeClr>
          </a:solidFill>
          <a:ln/>
          <a:effectLst/>
          <a:sp3d/>
        </c:spPr>
      </c:pivotFmt>
      <c:pivotFmt>
        <c:idx val="48"/>
        <c:spPr>
          <a:solidFill>
            <a:schemeClr val="accent6">
              <a:lumMod val="60000"/>
            </a:schemeClr>
          </a:solidFill>
          <a:ln/>
          <a:effectLst/>
          <a:sp3d/>
        </c:spPr>
      </c:pivotFmt>
      <c:pivotFmt>
        <c:idx val="49"/>
        <c:spPr>
          <a:solidFill>
            <a:schemeClr val="accent1">
              <a:lumMod val="80000"/>
              <a:lumOff val="20000"/>
            </a:schemeClr>
          </a:solidFill>
          <a:ln/>
          <a:effectLst/>
          <a:sp3d/>
        </c:spPr>
      </c:pivotFmt>
      <c:pivotFmt>
        <c:idx val="50"/>
        <c:spPr>
          <a:solidFill>
            <a:schemeClr val="accent2">
              <a:lumMod val="80000"/>
              <a:lumOff val="20000"/>
            </a:schemeClr>
          </a:solidFill>
          <a:ln/>
          <a:effectLst/>
          <a:sp3d/>
        </c:spPr>
      </c:pivotFmt>
      <c:pivotFmt>
        <c:idx val="51"/>
        <c:spPr>
          <a:solidFill>
            <a:schemeClr val="accent3">
              <a:lumMod val="80000"/>
              <a:lumOff val="20000"/>
            </a:schemeClr>
          </a:solidFill>
          <a:ln/>
          <a:effectLst/>
          <a:sp3d/>
        </c:spPr>
      </c:pivotFmt>
      <c:pivotFmt>
        <c:idx val="52"/>
        <c:spPr>
          <a:solidFill>
            <a:schemeClr val="accent2"/>
          </a:solidFill>
          <a:ln/>
          <a:effectLst/>
          <a:sp3d/>
        </c:spPr>
        <c:marker>
          <c:symbol val="none"/>
        </c:marker>
        <c:dLbl>
          <c:idx val="0"/>
          <c:delete val="1"/>
          <c:extLst>
            <c:ext xmlns:c15="http://schemas.microsoft.com/office/drawing/2012/chart" uri="{CE6537A1-D6FC-4f65-9D91-7224C49458BB}"/>
          </c:extLst>
        </c:dLbl>
      </c:pivotFmt>
      <c:pivotFmt>
        <c:idx val="53"/>
        <c:spPr>
          <a:solidFill>
            <a:schemeClr val="accent1"/>
          </a:solidFill>
          <a:ln/>
          <a:effectLst/>
          <a:sp3d/>
        </c:spPr>
        <c:marker>
          <c:symbol val="none"/>
        </c:marker>
        <c:dLbl>
          <c:idx val="0"/>
          <c:delete val="1"/>
          <c:extLst>
            <c:ext xmlns:c15="http://schemas.microsoft.com/office/drawing/2012/chart" uri="{CE6537A1-D6FC-4f65-9D91-7224C49458BB}"/>
          </c:extLst>
        </c:dLbl>
      </c:pivotFmt>
      <c:pivotFmt>
        <c:idx val="54"/>
        <c:spPr>
          <a:solidFill>
            <a:schemeClr val="accent1"/>
          </a:solidFill>
          <a:ln/>
          <a:effectLst/>
          <a:sp3d/>
        </c:spPr>
      </c:pivotFmt>
      <c:pivotFmt>
        <c:idx val="55"/>
        <c:spPr>
          <a:solidFill>
            <a:schemeClr val="accent2"/>
          </a:solidFill>
          <a:ln/>
          <a:effectLst/>
          <a:sp3d/>
        </c:spPr>
      </c:pivotFmt>
      <c:pivotFmt>
        <c:idx val="56"/>
        <c:spPr>
          <a:solidFill>
            <a:schemeClr val="accent3"/>
          </a:solidFill>
          <a:ln/>
          <a:effectLst/>
          <a:sp3d/>
        </c:spPr>
      </c:pivotFmt>
      <c:pivotFmt>
        <c:idx val="57"/>
        <c:spPr>
          <a:solidFill>
            <a:schemeClr val="accent4"/>
          </a:solidFill>
          <a:ln/>
          <a:effectLst/>
          <a:sp3d/>
        </c:spPr>
      </c:pivotFmt>
      <c:pivotFmt>
        <c:idx val="58"/>
        <c:spPr>
          <a:solidFill>
            <a:schemeClr val="accent5"/>
          </a:solidFill>
          <a:ln/>
          <a:effectLst/>
          <a:sp3d/>
        </c:spPr>
      </c:pivotFmt>
      <c:pivotFmt>
        <c:idx val="59"/>
        <c:spPr>
          <a:solidFill>
            <a:schemeClr val="accent6"/>
          </a:solidFill>
          <a:ln/>
          <a:effectLst/>
          <a:sp3d/>
        </c:spPr>
      </c:pivotFmt>
      <c:pivotFmt>
        <c:idx val="60"/>
        <c:spPr>
          <a:solidFill>
            <a:schemeClr val="accent1">
              <a:lumMod val="60000"/>
            </a:schemeClr>
          </a:solidFill>
          <a:ln/>
          <a:effectLst/>
          <a:sp3d/>
        </c:spPr>
      </c:pivotFmt>
      <c:pivotFmt>
        <c:idx val="61"/>
        <c:spPr>
          <a:solidFill>
            <a:schemeClr val="accent2">
              <a:lumMod val="60000"/>
            </a:schemeClr>
          </a:solidFill>
          <a:ln/>
          <a:effectLst/>
          <a:sp3d/>
        </c:spPr>
      </c:pivotFmt>
      <c:pivotFmt>
        <c:idx val="62"/>
        <c:spPr>
          <a:solidFill>
            <a:schemeClr val="accent3">
              <a:lumMod val="60000"/>
            </a:schemeClr>
          </a:solidFill>
          <a:ln/>
          <a:effectLst/>
          <a:sp3d/>
        </c:spPr>
      </c:pivotFmt>
      <c:pivotFmt>
        <c:idx val="63"/>
        <c:spPr>
          <a:solidFill>
            <a:schemeClr val="accent4">
              <a:lumMod val="60000"/>
            </a:schemeClr>
          </a:solidFill>
          <a:ln/>
          <a:effectLst/>
          <a:sp3d/>
        </c:spPr>
      </c:pivotFmt>
      <c:pivotFmt>
        <c:idx val="64"/>
        <c:spPr>
          <a:solidFill>
            <a:schemeClr val="accent5">
              <a:lumMod val="60000"/>
            </a:schemeClr>
          </a:solidFill>
          <a:ln/>
          <a:effectLst/>
          <a:sp3d/>
        </c:spPr>
      </c:pivotFmt>
      <c:pivotFmt>
        <c:idx val="65"/>
        <c:spPr>
          <a:solidFill>
            <a:schemeClr val="accent6">
              <a:lumMod val="60000"/>
            </a:schemeClr>
          </a:solidFill>
          <a:ln/>
          <a:effectLst/>
          <a:sp3d/>
        </c:spPr>
      </c:pivotFmt>
      <c:pivotFmt>
        <c:idx val="66"/>
        <c:spPr>
          <a:solidFill>
            <a:schemeClr val="accent1">
              <a:lumMod val="80000"/>
              <a:lumOff val="20000"/>
            </a:schemeClr>
          </a:solidFill>
          <a:ln/>
          <a:effectLst/>
          <a:sp3d/>
        </c:spPr>
      </c:pivotFmt>
      <c:pivotFmt>
        <c:idx val="67"/>
        <c:spPr>
          <a:solidFill>
            <a:schemeClr val="accent2">
              <a:lumMod val="80000"/>
              <a:lumOff val="20000"/>
            </a:schemeClr>
          </a:solidFill>
          <a:ln/>
          <a:effectLst/>
          <a:sp3d/>
        </c:spPr>
      </c:pivotFmt>
      <c:pivotFmt>
        <c:idx val="68"/>
        <c:spPr>
          <a:solidFill>
            <a:schemeClr val="accent3">
              <a:lumMod val="80000"/>
              <a:lumOff val="20000"/>
            </a:schemeClr>
          </a:solidFill>
          <a:ln/>
          <a:effectLst/>
          <a:sp3d/>
        </c:spPr>
      </c:pivotFmt>
      <c:pivotFmt>
        <c:idx val="69"/>
        <c:spPr>
          <a:solidFill>
            <a:schemeClr val="accent2"/>
          </a:solidFill>
          <a:ln/>
          <a:effectLst/>
          <a:sp3d/>
        </c:spPr>
        <c:marker>
          <c:symbol val="none"/>
        </c:marker>
        <c:dLbl>
          <c:idx val="0"/>
          <c:delete val="1"/>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surface3DChart>
        <c:wireframe val="0"/>
        <c:ser>
          <c:idx val="0"/>
          <c:order val="0"/>
          <c:tx>
            <c:strRef>
              <c:f>Sheet12!$DD$23</c:f>
              <c:strCache>
                <c:ptCount val="1"/>
                <c:pt idx="0">
                  <c:v>Sum of Export_Growth_Percent</c:v>
                </c:pt>
              </c:strCache>
            </c:strRef>
          </c:tx>
          <c:spPr>
            <a:solidFill>
              <a:schemeClr val="accent1"/>
            </a:solidFill>
            <a:ln/>
            <a:effectLst/>
            <a:sp3d/>
          </c:spPr>
          <c:cat>
            <c:strRef>
              <c:f>Sheet12!$DC$24:$DC$63</c:f>
              <c:strCache>
                <c:ptCount val="39"/>
                <c:pt idx="0">
                  <c:v>Argentina</c:v>
                </c:pt>
                <c:pt idx="1">
                  <c:v>Australia</c:v>
                </c:pt>
                <c:pt idx="2">
                  <c:v>Brazil</c:v>
                </c:pt>
                <c:pt idx="3">
                  <c:v>Canada</c:v>
                </c:pt>
                <c:pt idx="4">
                  <c:v>Chile</c:v>
                </c:pt>
                <c:pt idx="5">
                  <c:v>China</c:v>
                </c:pt>
                <c:pt idx="6">
                  <c:v>Colombia</c:v>
                </c:pt>
                <c:pt idx="7">
                  <c:v>Denmark</c:v>
                </c:pt>
                <c:pt idx="8">
                  <c:v>Egypt</c:v>
                </c:pt>
                <c:pt idx="9">
                  <c:v>France</c:v>
                </c:pt>
                <c:pt idx="10">
                  <c:v>Germany</c:v>
                </c:pt>
                <c:pt idx="11">
                  <c:v>Hong Kong</c:v>
                </c:pt>
                <c:pt idx="12">
                  <c:v>India</c:v>
                </c:pt>
                <c:pt idx="13">
                  <c:v>Indonesia</c:v>
                </c:pt>
                <c:pt idx="14">
                  <c:v>Israel</c:v>
                </c:pt>
                <c:pt idx="15">
                  <c:v>Italy</c:v>
                </c:pt>
                <c:pt idx="16">
                  <c:v>Japan</c:v>
                </c:pt>
                <c:pt idx="17">
                  <c:v>Malaysia</c:v>
                </c:pt>
                <c:pt idx="18">
                  <c:v>Mexico</c:v>
                </c:pt>
                <c:pt idx="19">
                  <c:v>Netherlands</c:v>
                </c:pt>
                <c:pt idx="20">
                  <c:v>Nigeria</c:v>
                </c:pt>
                <c:pt idx="21">
                  <c:v>Norway</c:v>
                </c:pt>
                <c:pt idx="22">
                  <c:v>Peru</c:v>
                </c:pt>
                <c:pt idx="23">
                  <c:v>Philippines</c:v>
                </c:pt>
                <c:pt idx="24">
                  <c:v>Russia</c:v>
                </c:pt>
                <c:pt idx="25">
                  <c:v>Saudi Arabia</c:v>
                </c:pt>
                <c:pt idx="26">
                  <c:v>Singapore</c:v>
                </c:pt>
                <c:pt idx="27">
                  <c:v>South Africa</c:v>
                </c:pt>
                <c:pt idx="28">
                  <c:v>South Korea</c:v>
                </c:pt>
                <c:pt idx="29">
                  <c:v>Spain</c:v>
                </c:pt>
                <c:pt idx="30">
                  <c:v>Sweden</c:v>
                </c:pt>
                <c:pt idx="31">
                  <c:v>Switzerland</c:v>
                </c:pt>
                <c:pt idx="32">
                  <c:v>Taiwan</c:v>
                </c:pt>
                <c:pt idx="33">
                  <c:v>Thailand</c:v>
                </c:pt>
                <c:pt idx="34">
                  <c:v>Turkey</c:v>
                </c:pt>
                <c:pt idx="35">
                  <c:v>UAE</c:v>
                </c:pt>
                <c:pt idx="36">
                  <c:v>United Kingdom</c:v>
                </c:pt>
                <c:pt idx="37">
                  <c:v>United States</c:v>
                </c:pt>
                <c:pt idx="38">
                  <c:v>Vietnam</c:v>
                </c:pt>
              </c:strCache>
            </c:strRef>
          </c:cat>
          <c:val>
            <c:numRef>
              <c:f>Sheet12!$DD$24:$DD$63</c:f>
              <c:numCache>
                <c:formatCode>General</c:formatCode>
                <c:ptCount val="39"/>
                <c:pt idx="0">
                  <c:v>-12.3</c:v>
                </c:pt>
                <c:pt idx="1">
                  <c:v>6.2</c:v>
                </c:pt>
                <c:pt idx="2">
                  <c:v>8.6999999999999993</c:v>
                </c:pt>
                <c:pt idx="3">
                  <c:v>4.0999999999999996</c:v>
                </c:pt>
                <c:pt idx="4">
                  <c:v>6.7</c:v>
                </c:pt>
                <c:pt idx="5">
                  <c:v>8.9</c:v>
                </c:pt>
                <c:pt idx="6">
                  <c:v>8.9</c:v>
                </c:pt>
                <c:pt idx="7">
                  <c:v>2.1</c:v>
                </c:pt>
                <c:pt idx="8">
                  <c:v>12.3</c:v>
                </c:pt>
                <c:pt idx="9">
                  <c:v>1.8</c:v>
                </c:pt>
                <c:pt idx="10">
                  <c:v>2.1</c:v>
                </c:pt>
                <c:pt idx="11">
                  <c:v>6.7</c:v>
                </c:pt>
                <c:pt idx="12">
                  <c:v>13.2</c:v>
                </c:pt>
                <c:pt idx="13">
                  <c:v>8.9</c:v>
                </c:pt>
                <c:pt idx="14">
                  <c:v>5.6</c:v>
                </c:pt>
                <c:pt idx="15">
                  <c:v>3.2</c:v>
                </c:pt>
                <c:pt idx="16">
                  <c:v>5.0999999999999996</c:v>
                </c:pt>
                <c:pt idx="17">
                  <c:v>6.7</c:v>
                </c:pt>
                <c:pt idx="18">
                  <c:v>7.9</c:v>
                </c:pt>
                <c:pt idx="19">
                  <c:v>2.8</c:v>
                </c:pt>
                <c:pt idx="20">
                  <c:v>23.4</c:v>
                </c:pt>
                <c:pt idx="21">
                  <c:v>8.9</c:v>
                </c:pt>
                <c:pt idx="22">
                  <c:v>9.8000000000000007</c:v>
                </c:pt>
                <c:pt idx="23">
                  <c:v>8.1</c:v>
                </c:pt>
                <c:pt idx="24">
                  <c:v>15.2</c:v>
                </c:pt>
                <c:pt idx="25">
                  <c:v>12.3</c:v>
                </c:pt>
                <c:pt idx="26">
                  <c:v>12.4</c:v>
                </c:pt>
                <c:pt idx="27">
                  <c:v>2.1</c:v>
                </c:pt>
                <c:pt idx="28">
                  <c:v>9.1</c:v>
                </c:pt>
                <c:pt idx="29">
                  <c:v>4.0999999999999996</c:v>
                </c:pt>
                <c:pt idx="30">
                  <c:v>3.4</c:v>
                </c:pt>
                <c:pt idx="31">
                  <c:v>1.9</c:v>
                </c:pt>
                <c:pt idx="32">
                  <c:v>15.2</c:v>
                </c:pt>
                <c:pt idx="33">
                  <c:v>4.0999999999999996</c:v>
                </c:pt>
                <c:pt idx="34">
                  <c:v>3.4</c:v>
                </c:pt>
                <c:pt idx="35">
                  <c:v>23.4</c:v>
                </c:pt>
                <c:pt idx="36">
                  <c:v>0.9</c:v>
                </c:pt>
                <c:pt idx="37">
                  <c:v>3.2</c:v>
                </c:pt>
                <c:pt idx="38">
                  <c:v>12.8</c:v>
                </c:pt>
              </c:numCache>
            </c:numRef>
          </c:val>
          <c:extLst>
            <c:ext xmlns:c16="http://schemas.microsoft.com/office/drawing/2014/chart" uri="{C3380CC4-5D6E-409C-BE32-E72D297353CC}">
              <c16:uniqueId val="{00000000-2DA6-A14E-B9F0-2583688ED689}"/>
            </c:ext>
          </c:extLst>
        </c:ser>
        <c:ser>
          <c:idx val="1"/>
          <c:order val="1"/>
          <c:tx>
            <c:strRef>
              <c:f>Sheet12!$DE$23</c:f>
              <c:strCache>
                <c:ptCount val="1"/>
                <c:pt idx="0">
                  <c:v>Sum of Import_Growth_Percent</c:v>
                </c:pt>
              </c:strCache>
            </c:strRef>
          </c:tx>
          <c:spPr>
            <a:solidFill>
              <a:schemeClr val="accent2"/>
            </a:solidFill>
            <a:ln/>
            <a:effectLst/>
            <a:sp3d/>
          </c:spPr>
          <c:cat>
            <c:strRef>
              <c:f>Sheet12!$DC$24:$DC$63</c:f>
              <c:strCache>
                <c:ptCount val="39"/>
                <c:pt idx="0">
                  <c:v>Argentina</c:v>
                </c:pt>
                <c:pt idx="1">
                  <c:v>Australia</c:v>
                </c:pt>
                <c:pt idx="2">
                  <c:v>Brazil</c:v>
                </c:pt>
                <c:pt idx="3">
                  <c:v>Canada</c:v>
                </c:pt>
                <c:pt idx="4">
                  <c:v>Chile</c:v>
                </c:pt>
                <c:pt idx="5">
                  <c:v>China</c:v>
                </c:pt>
                <c:pt idx="6">
                  <c:v>Colombia</c:v>
                </c:pt>
                <c:pt idx="7">
                  <c:v>Denmark</c:v>
                </c:pt>
                <c:pt idx="8">
                  <c:v>Egypt</c:v>
                </c:pt>
                <c:pt idx="9">
                  <c:v>France</c:v>
                </c:pt>
                <c:pt idx="10">
                  <c:v>Germany</c:v>
                </c:pt>
                <c:pt idx="11">
                  <c:v>Hong Kong</c:v>
                </c:pt>
                <c:pt idx="12">
                  <c:v>India</c:v>
                </c:pt>
                <c:pt idx="13">
                  <c:v>Indonesia</c:v>
                </c:pt>
                <c:pt idx="14">
                  <c:v>Israel</c:v>
                </c:pt>
                <c:pt idx="15">
                  <c:v>Italy</c:v>
                </c:pt>
                <c:pt idx="16">
                  <c:v>Japan</c:v>
                </c:pt>
                <c:pt idx="17">
                  <c:v>Malaysia</c:v>
                </c:pt>
                <c:pt idx="18">
                  <c:v>Mexico</c:v>
                </c:pt>
                <c:pt idx="19">
                  <c:v>Netherlands</c:v>
                </c:pt>
                <c:pt idx="20">
                  <c:v>Nigeria</c:v>
                </c:pt>
                <c:pt idx="21">
                  <c:v>Norway</c:v>
                </c:pt>
                <c:pt idx="22">
                  <c:v>Peru</c:v>
                </c:pt>
                <c:pt idx="23">
                  <c:v>Philippines</c:v>
                </c:pt>
                <c:pt idx="24">
                  <c:v>Russia</c:v>
                </c:pt>
                <c:pt idx="25">
                  <c:v>Saudi Arabia</c:v>
                </c:pt>
                <c:pt idx="26">
                  <c:v>Singapore</c:v>
                </c:pt>
                <c:pt idx="27">
                  <c:v>South Africa</c:v>
                </c:pt>
                <c:pt idx="28">
                  <c:v>South Korea</c:v>
                </c:pt>
                <c:pt idx="29">
                  <c:v>Spain</c:v>
                </c:pt>
                <c:pt idx="30">
                  <c:v>Sweden</c:v>
                </c:pt>
                <c:pt idx="31">
                  <c:v>Switzerland</c:v>
                </c:pt>
                <c:pt idx="32">
                  <c:v>Taiwan</c:v>
                </c:pt>
                <c:pt idx="33">
                  <c:v>Thailand</c:v>
                </c:pt>
                <c:pt idx="34">
                  <c:v>Turkey</c:v>
                </c:pt>
                <c:pt idx="35">
                  <c:v>UAE</c:v>
                </c:pt>
                <c:pt idx="36">
                  <c:v>United Kingdom</c:v>
                </c:pt>
                <c:pt idx="37">
                  <c:v>United States</c:v>
                </c:pt>
                <c:pt idx="38">
                  <c:v>Vietnam</c:v>
                </c:pt>
              </c:strCache>
            </c:strRef>
          </c:cat>
          <c:val>
            <c:numRef>
              <c:f>Sheet12!$DE$24:$DE$63</c:f>
              <c:numCache>
                <c:formatCode>General</c:formatCode>
                <c:ptCount val="39"/>
                <c:pt idx="0">
                  <c:v>15.6</c:v>
                </c:pt>
                <c:pt idx="1">
                  <c:v>5.4</c:v>
                </c:pt>
                <c:pt idx="2">
                  <c:v>6.9</c:v>
                </c:pt>
                <c:pt idx="3">
                  <c:v>3.8</c:v>
                </c:pt>
                <c:pt idx="4">
                  <c:v>5.2</c:v>
                </c:pt>
                <c:pt idx="5">
                  <c:v>6.1</c:v>
                </c:pt>
                <c:pt idx="6">
                  <c:v>7.1</c:v>
                </c:pt>
                <c:pt idx="7">
                  <c:v>1.8</c:v>
                </c:pt>
                <c:pt idx="8">
                  <c:v>23.4</c:v>
                </c:pt>
                <c:pt idx="9">
                  <c:v>2.1</c:v>
                </c:pt>
                <c:pt idx="10">
                  <c:v>1.8</c:v>
                </c:pt>
                <c:pt idx="11">
                  <c:v>5.9</c:v>
                </c:pt>
                <c:pt idx="12">
                  <c:v>10.9</c:v>
                </c:pt>
                <c:pt idx="13">
                  <c:v>7.3</c:v>
                </c:pt>
                <c:pt idx="14">
                  <c:v>4.2</c:v>
                </c:pt>
                <c:pt idx="15">
                  <c:v>2.9</c:v>
                </c:pt>
                <c:pt idx="16">
                  <c:v>4.7</c:v>
                </c:pt>
                <c:pt idx="17">
                  <c:v>5.9</c:v>
                </c:pt>
                <c:pt idx="18">
                  <c:v>8.1999999999999993</c:v>
                </c:pt>
                <c:pt idx="19">
                  <c:v>2.4</c:v>
                </c:pt>
                <c:pt idx="20">
                  <c:v>34.5</c:v>
                </c:pt>
                <c:pt idx="21">
                  <c:v>6.7</c:v>
                </c:pt>
                <c:pt idx="22">
                  <c:v>8.1999999999999993</c:v>
                </c:pt>
                <c:pt idx="23">
                  <c:v>7.4</c:v>
                </c:pt>
                <c:pt idx="24">
                  <c:v>18.7</c:v>
                </c:pt>
                <c:pt idx="25">
                  <c:v>8.9</c:v>
                </c:pt>
                <c:pt idx="26">
                  <c:v>11.7</c:v>
                </c:pt>
                <c:pt idx="27">
                  <c:v>1.8</c:v>
                </c:pt>
                <c:pt idx="28">
                  <c:v>7.8</c:v>
                </c:pt>
                <c:pt idx="29">
                  <c:v>3.7</c:v>
                </c:pt>
                <c:pt idx="30">
                  <c:v>2.9</c:v>
                </c:pt>
                <c:pt idx="31">
                  <c:v>2.1</c:v>
                </c:pt>
                <c:pt idx="32">
                  <c:v>13.8</c:v>
                </c:pt>
                <c:pt idx="33">
                  <c:v>3.8</c:v>
                </c:pt>
                <c:pt idx="34">
                  <c:v>8.9</c:v>
                </c:pt>
                <c:pt idx="35">
                  <c:v>18.899999999999999</c:v>
                </c:pt>
                <c:pt idx="36">
                  <c:v>1.2</c:v>
                </c:pt>
                <c:pt idx="37">
                  <c:v>2.8</c:v>
                </c:pt>
                <c:pt idx="38">
                  <c:v>14.2</c:v>
                </c:pt>
              </c:numCache>
            </c:numRef>
          </c:val>
          <c:extLst>
            <c:ext xmlns:c16="http://schemas.microsoft.com/office/drawing/2014/chart" uri="{C3380CC4-5D6E-409C-BE32-E72D297353CC}">
              <c16:uniqueId val="{00000001-2DA6-A14E-B9F0-2583688ED689}"/>
            </c:ext>
          </c:extLst>
        </c:ser>
        <c:bandFmts>
          <c:bandFmt>
            <c:idx val="0"/>
            <c:spPr>
              <a:solidFill>
                <a:schemeClr val="accent1"/>
              </a:solidFill>
              <a:ln/>
              <a:effectLst/>
              <a:sp3d/>
            </c:spPr>
          </c:bandFmt>
          <c:bandFmt>
            <c:idx val="1"/>
            <c:spPr>
              <a:solidFill>
                <a:schemeClr val="accent2"/>
              </a:solidFill>
              <a:ln/>
              <a:effectLst/>
              <a:sp3d/>
            </c:spPr>
          </c:bandFmt>
          <c:bandFmt>
            <c:idx val="2"/>
            <c:spPr>
              <a:solidFill>
                <a:schemeClr val="accent3"/>
              </a:solidFill>
              <a:ln/>
              <a:effectLst/>
              <a:sp3d/>
            </c:spPr>
          </c:bandFmt>
          <c:bandFmt>
            <c:idx val="3"/>
            <c:spPr>
              <a:solidFill>
                <a:schemeClr val="accent4"/>
              </a:solidFill>
              <a:ln/>
              <a:effectLst/>
              <a:sp3d/>
            </c:spPr>
          </c:bandFmt>
          <c:bandFmt>
            <c:idx val="4"/>
            <c:spPr>
              <a:solidFill>
                <a:schemeClr val="accent5"/>
              </a:solidFill>
              <a:ln/>
              <a:effectLst/>
              <a:sp3d/>
            </c:spPr>
          </c:bandFmt>
          <c:bandFmt>
            <c:idx val="5"/>
            <c:spPr>
              <a:solidFill>
                <a:schemeClr val="accent6"/>
              </a:solidFill>
              <a:ln/>
              <a:effectLst/>
              <a:sp3d/>
            </c:spPr>
          </c:bandFmt>
          <c:bandFmt>
            <c:idx val="6"/>
            <c:spPr>
              <a:solidFill>
                <a:schemeClr val="accent1">
                  <a:lumMod val="60000"/>
                </a:schemeClr>
              </a:solidFill>
              <a:ln/>
              <a:effectLst/>
              <a:sp3d/>
            </c:spPr>
          </c:bandFmt>
          <c:bandFmt>
            <c:idx val="7"/>
            <c:spPr>
              <a:solidFill>
                <a:schemeClr val="accent2">
                  <a:lumMod val="60000"/>
                </a:schemeClr>
              </a:solidFill>
              <a:ln/>
              <a:effectLst/>
              <a:sp3d/>
            </c:spPr>
          </c:bandFmt>
          <c:bandFmt>
            <c:idx val="8"/>
            <c:spPr>
              <a:solidFill>
                <a:schemeClr val="accent3">
                  <a:lumMod val="60000"/>
                </a:schemeClr>
              </a:solidFill>
              <a:ln/>
              <a:effectLst/>
              <a:sp3d/>
            </c:spPr>
          </c:bandFmt>
          <c:bandFmt>
            <c:idx val="9"/>
            <c:spPr>
              <a:solidFill>
                <a:schemeClr val="accent4">
                  <a:lumMod val="60000"/>
                </a:schemeClr>
              </a:solidFill>
              <a:ln/>
              <a:effectLst/>
              <a:sp3d/>
            </c:spPr>
          </c:bandFmt>
          <c:bandFmt>
            <c:idx val="10"/>
            <c:spPr>
              <a:solidFill>
                <a:schemeClr val="accent5">
                  <a:lumMod val="60000"/>
                </a:schemeClr>
              </a:solidFill>
              <a:ln/>
              <a:effectLst/>
              <a:sp3d/>
            </c:spPr>
          </c:bandFmt>
          <c:bandFmt>
            <c:idx val="11"/>
            <c:spPr>
              <a:solidFill>
                <a:schemeClr val="accent6">
                  <a:lumMod val="60000"/>
                </a:schemeClr>
              </a:solidFill>
              <a:ln/>
              <a:effectLst/>
              <a:sp3d/>
            </c:spPr>
          </c:bandFmt>
          <c:bandFmt>
            <c:idx val="12"/>
            <c:spPr>
              <a:solidFill>
                <a:schemeClr val="accent1">
                  <a:lumMod val="80000"/>
                  <a:lumOff val="20000"/>
                </a:schemeClr>
              </a:solidFill>
              <a:ln/>
              <a:effectLst/>
              <a:sp3d/>
            </c:spPr>
          </c:bandFmt>
          <c:bandFmt>
            <c:idx val="13"/>
            <c:spPr>
              <a:solidFill>
                <a:schemeClr val="accent2">
                  <a:lumMod val="80000"/>
                  <a:lumOff val="20000"/>
                </a:schemeClr>
              </a:solidFill>
              <a:ln/>
              <a:effectLst/>
              <a:sp3d/>
            </c:spPr>
          </c:bandFmt>
          <c:bandFmt>
            <c:idx val="14"/>
            <c:spPr>
              <a:solidFill>
                <a:schemeClr val="accent3">
                  <a:lumMod val="80000"/>
                  <a:lumOff val="20000"/>
                </a:schemeClr>
              </a:solidFill>
              <a:ln/>
              <a:effectLst/>
              <a:sp3d/>
            </c:spPr>
          </c:bandFmt>
        </c:bandFmts>
        <c:axId val="175669455"/>
        <c:axId val="134811503"/>
        <c:axId val="173559023"/>
      </c:surface3DChart>
      <c:catAx>
        <c:axId val="17566945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811503"/>
        <c:crosses val="autoZero"/>
        <c:auto val="1"/>
        <c:lblAlgn val="ctr"/>
        <c:lblOffset val="100"/>
        <c:noMultiLvlLbl val="0"/>
      </c:catAx>
      <c:valAx>
        <c:axId val="1348115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669455"/>
        <c:crosses val="autoZero"/>
        <c:crossBetween val="midCat"/>
      </c:valAx>
      <c:serAx>
        <c:axId val="173559023"/>
        <c:scaling>
          <c:orientation val="minMax"/>
        </c:scaling>
        <c:delete val="0"/>
        <c:axPos val="b"/>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811503"/>
        <c:crosses val="autoZero"/>
      </c:serAx>
    </c:plotArea>
    <c:legend>
      <c:legendPos val="r"/>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[Saravanan Milestone.xlsx]Sheet12!PivotTable19</c:name>
    <c:fmtId val="30"/>
  </c:pivotSource>
  <c:chart>
    <c:autoTitleDeleted val="0"/>
    <c:pivotFmts>
      <c:pivotFmt>
        <c:idx val="0"/>
        <c:spPr>
          <a:solidFill>
            <a:schemeClr val="accent1"/>
          </a:solidFill>
          <a:ln w="38100" cap="rnd">
            <a:solidFill>
              <a:schemeClr val="accent1"/>
            </a:solidFill>
            <a:round/>
          </a:ln>
          <a:effectLst/>
        </c:spPr>
        <c:marker>
          <c:symbol val="circle"/>
          <c:size val="8"/>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38100" cap="rnd">
            <a:solidFill>
              <a:schemeClr val="accent1"/>
            </a:solidFill>
            <a:round/>
          </a:ln>
          <a:effectLst/>
        </c:spPr>
        <c:marker>
          <c:symbol val="circle"/>
          <c:size val="8"/>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38100" cap="rnd">
            <a:solidFill>
              <a:schemeClr val="accent1"/>
            </a:solidFill>
            <a:round/>
          </a:ln>
          <a:effectLst/>
        </c:spPr>
        <c:marker>
          <c:symbol val="circle"/>
          <c:size val="8"/>
          <c:spPr>
            <a:solidFill>
              <a:schemeClr val="accent3"/>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38100" cap="rnd">
            <a:solidFill>
              <a:schemeClr val="accent1"/>
            </a:solidFill>
            <a:round/>
          </a:ln>
          <a:effectLst/>
        </c:spPr>
        <c:marker>
          <c:symbol val="circle"/>
          <c:size val="8"/>
          <c:spPr>
            <a:solidFill>
              <a:schemeClr val="accent4"/>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38100" cap="rnd">
            <a:solidFill>
              <a:schemeClr val="accent1"/>
            </a:solidFill>
            <a:round/>
          </a:ln>
          <a:effectLst/>
        </c:spPr>
        <c:marker>
          <c:symbol val="circle"/>
          <c:size val="8"/>
          <c:spPr>
            <a:solidFill>
              <a:schemeClr val="accent5"/>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38100" cap="rnd">
            <a:solidFill>
              <a:schemeClr val="accent1"/>
            </a:solidFill>
            <a:round/>
          </a:ln>
          <a:effectLst/>
        </c:spPr>
        <c:marker>
          <c:symbol val="circle"/>
          <c:size val="8"/>
          <c:spPr>
            <a:solidFill>
              <a:schemeClr val="accent6"/>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38100" cap="rnd">
            <a:solidFill>
              <a:schemeClr val="accent1"/>
            </a:solidFill>
            <a:round/>
          </a:ln>
          <a:effectLst/>
        </c:spPr>
        <c:marker>
          <c:symbol val="circle"/>
          <c:size val="8"/>
          <c:spPr>
            <a:solidFill>
              <a:schemeClr val="accent1">
                <a:lumMod val="6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38100" cap="rnd">
            <a:solidFill>
              <a:schemeClr val="accent1"/>
            </a:solidFill>
            <a:round/>
          </a:ln>
          <a:effectLst/>
        </c:spPr>
        <c:marker>
          <c:symbol val="circle"/>
          <c:size val="8"/>
          <c:spPr>
            <a:solidFill>
              <a:schemeClr val="accent2">
                <a:lumMod val="6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38100" cap="rnd">
            <a:solidFill>
              <a:schemeClr val="accent1"/>
            </a:solidFill>
            <a:round/>
          </a:ln>
          <a:effectLst/>
        </c:spPr>
        <c:marker>
          <c:symbol val="circle"/>
          <c:size val="8"/>
          <c:spPr>
            <a:solidFill>
              <a:schemeClr val="accent3">
                <a:lumMod val="6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38100" cap="rnd">
            <a:solidFill>
              <a:schemeClr val="accent1"/>
            </a:solidFill>
            <a:round/>
          </a:ln>
          <a:effectLst/>
        </c:spPr>
        <c:marker>
          <c:symbol val="circle"/>
          <c:size val="8"/>
          <c:spPr>
            <a:solidFill>
              <a:schemeClr val="accent4">
                <a:lumMod val="6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38100" cap="rnd">
            <a:solidFill>
              <a:schemeClr val="accent1"/>
            </a:solidFill>
            <a:round/>
          </a:ln>
          <a:effectLst/>
        </c:spPr>
        <c:marker>
          <c:symbol val="circle"/>
          <c:size val="8"/>
          <c:spPr>
            <a:solidFill>
              <a:schemeClr val="accent5">
                <a:lumMod val="6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38100" cap="rnd">
            <a:solidFill>
              <a:schemeClr val="accent1"/>
            </a:solidFill>
            <a:round/>
          </a:ln>
          <a:effectLst/>
        </c:spPr>
        <c:marker>
          <c:symbol val="circle"/>
          <c:size val="8"/>
          <c:spPr>
            <a:solidFill>
              <a:schemeClr val="accent6">
                <a:lumMod val="6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38100" cap="rnd">
            <a:solidFill>
              <a:schemeClr val="accent1"/>
            </a:solidFill>
            <a:round/>
          </a:ln>
          <a:effectLst/>
        </c:spPr>
        <c:marker>
          <c:symbol val="circle"/>
          <c:size val="8"/>
          <c:spPr>
            <a:solidFill>
              <a:schemeClr val="accent1">
                <a:lumMod val="80000"/>
                <a:lumOff val="2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38100" cap="rnd">
            <a:solidFill>
              <a:schemeClr val="accent1"/>
            </a:solidFill>
            <a:round/>
          </a:ln>
          <a:effectLst/>
        </c:spPr>
        <c:marker>
          <c:symbol val="circle"/>
          <c:size val="8"/>
          <c:spPr>
            <a:solidFill>
              <a:schemeClr val="accent2">
                <a:lumMod val="80000"/>
                <a:lumOff val="2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38100" cap="rnd">
            <a:solidFill>
              <a:schemeClr val="accent1"/>
            </a:solidFill>
            <a:round/>
          </a:ln>
          <a:effectLst/>
        </c:spPr>
        <c:marker>
          <c:symbol val="circle"/>
          <c:size val="8"/>
          <c:spPr>
            <a:solidFill>
              <a:schemeClr val="accent3">
                <a:lumMod val="80000"/>
                <a:lumOff val="2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38100" cap="rnd">
            <a:solidFill>
              <a:schemeClr val="accent1"/>
            </a:solidFill>
            <a:round/>
          </a:ln>
          <a:effectLst/>
        </c:spPr>
        <c:marker>
          <c:symbol val="circle"/>
          <c:size val="8"/>
          <c:spPr>
            <a:solidFill>
              <a:schemeClr val="accent4">
                <a:lumMod val="80000"/>
                <a:lumOff val="2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38100" cap="rnd">
            <a:solidFill>
              <a:schemeClr val="accent1"/>
            </a:solidFill>
            <a:round/>
          </a:ln>
          <a:effectLst/>
        </c:spPr>
        <c:marker>
          <c:symbol val="circle"/>
          <c:size val="8"/>
          <c:spPr>
            <a:solidFill>
              <a:schemeClr val="accent5">
                <a:lumMod val="80000"/>
                <a:lumOff val="2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38100" cap="rnd">
            <a:solidFill>
              <a:schemeClr val="accent1"/>
            </a:solidFill>
            <a:round/>
          </a:ln>
          <a:effectLst/>
        </c:spPr>
        <c:marker>
          <c:symbol val="circle"/>
          <c:size val="8"/>
          <c:spPr>
            <a:solidFill>
              <a:schemeClr val="accent6">
                <a:lumMod val="80000"/>
                <a:lumOff val="2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38100" cap="rnd">
            <a:solidFill>
              <a:schemeClr val="accent1"/>
            </a:solidFill>
            <a:round/>
          </a:ln>
          <a:effectLst/>
        </c:spPr>
        <c:marker>
          <c:symbol val="circle"/>
          <c:size val="8"/>
          <c:spPr>
            <a:solidFill>
              <a:schemeClr val="accent1">
                <a:lumMod val="8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38100" cap="rnd">
            <a:solidFill>
              <a:schemeClr val="accent1"/>
            </a:solidFill>
            <a:round/>
          </a:ln>
          <a:effectLst/>
        </c:spPr>
        <c:marker>
          <c:symbol val="circle"/>
          <c:size val="8"/>
          <c:spPr>
            <a:solidFill>
              <a:schemeClr val="accent2">
                <a:lumMod val="8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38100" cap="rnd">
            <a:solidFill>
              <a:schemeClr val="accent1"/>
            </a:solidFill>
            <a:round/>
          </a:ln>
          <a:effectLst/>
        </c:spPr>
        <c:marker>
          <c:symbol val="circle"/>
          <c:size val="8"/>
          <c:spPr>
            <a:solidFill>
              <a:schemeClr val="accent3">
                <a:lumMod val="8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38100" cap="rnd">
            <a:solidFill>
              <a:schemeClr val="accent1"/>
            </a:solidFill>
            <a:round/>
          </a:ln>
          <a:effectLst/>
        </c:spPr>
        <c:marker>
          <c:symbol val="circle"/>
          <c:size val="8"/>
          <c:spPr>
            <a:solidFill>
              <a:schemeClr val="accent4">
                <a:lumMod val="8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38100" cap="rnd">
            <a:solidFill>
              <a:schemeClr val="accent1"/>
            </a:solidFill>
            <a:round/>
          </a:ln>
          <a:effectLst/>
        </c:spPr>
        <c:marker>
          <c:symbol val="circle"/>
          <c:size val="8"/>
          <c:spPr>
            <a:solidFill>
              <a:schemeClr val="accent5">
                <a:lumMod val="8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38100" cap="rnd">
            <a:solidFill>
              <a:schemeClr val="accent1"/>
            </a:solidFill>
            <a:round/>
          </a:ln>
          <a:effectLst/>
        </c:spPr>
        <c:marker>
          <c:symbol val="circle"/>
          <c:size val="8"/>
          <c:spPr>
            <a:solidFill>
              <a:schemeClr val="accent6">
                <a:lumMod val="8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38100" cap="rnd">
            <a:solidFill>
              <a:schemeClr val="accent1"/>
            </a:solidFill>
            <a:round/>
          </a:ln>
          <a:effectLst/>
        </c:spPr>
        <c:marker>
          <c:symbol val="circle"/>
          <c:size val="8"/>
          <c:spPr>
            <a:solidFill>
              <a:schemeClr val="accent1">
                <a:lumMod val="60000"/>
                <a:lumOff val="4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w="38100" cap="rnd">
            <a:solidFill>
              <a:schemeClr val="accent1"/>
            </a:solidFill>
            <a:round/>
          </a:ln>
          <a:effectLst/>
        </c:spPr>
        <c:marker>
          <c:symbol val="circle"/>
          <c:size val="8"/>
          <c:spPr>
            <a:solidFill>
              <a:schemeClr val="accent2">
                <a:lumMod val="60000"/>
                <a:lumOff val="4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w="38100" cap="rnd">
            <a:solidFill>
              <a:schemeClr val="accent1"/>
            </a:solidFill>
            <a:round/>
          </a:ln>
          <a:effectLst/>
        </c:spPr>
        <c:marker>
          <c:symbol val="circle"/>
          <c:size val="8"/>
          <c:spPr>
            <a:solidFill>
              <a:schemeClr val="accent3">
                <a:lumMod val="60000"/>
                <a:lumOff val="4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w="38100" cap="rnd">
            <a:solidFill>
              <a:schemeClr val="accent1"/>
            </a:solidFill>
            <a:round/>
          </a:ln>
          <a:effectLst/>
        </c:spPr>
        <c:marker>
          <c:symbol val="circle"/>
          <c:size val="8"/>
          <c:spPr>
            <a:solidFill>
              <a:schemeClr val="accent4">
                <a:lumMod val="60000"/>
                <a:lumOff val="4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w="38100" cap="rnd">
            <a:solidFill>
              <a:schemeClr val="accent1"/>
            </a:solidFill>
            <a:round/>
          </a:ln>
          <a:effectLst/>
        </c:spPr>
        <c:marker>
          <c:symbol val="circle"/>
          <c:size val="8"/>
          <c:spPr>
            <a:solidFill>
              <a:schemeClr val="accent5">
                <a:lumMod val="60000"/>
                <a:lumOff val="4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w="38100" cap="rnd">
            <a:solidFill>
              <a:schemeClr val="accent1"/>
            </a:solidFill>
            <a:round/>
          </a:ln>
          <a:effectLst/>
        </c:spPr>
        <c:marker>
          <c:symbol val="circle"/>
          <c:size val="8"/>
          <c:spPr>
            <a:solidFill>
              <a:schemeClr val="accent6">
                <a:lumMod val="60000"/>
                <a:lumOff val="4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w="38100" cap="rnd">
            <a:solidFill>
              <a:schemeClr val="accent1"/>
            </a:solidFill>
            <a:round/>
          </a:ln>
          <a:effectLst/>
        </c:spPr>
        <c:marker>
          <c:symbol val="circle"/>
          <c:size val="8"/>
          <c:spPr>
            <a:solidFill>
              <a:schemeClr val="accent1">
                <a:lumMod val="5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38100" cap="rnd">
            <a:solidFill>
              <a:schemeClr val="accent1"/>
            </a:solidFill>
            <a:round/>
          </a:ln>
          <a:effectLst/>
        </c:spPr>
        <c:marker>
          <c:symbol val="circle"/>
          <c:size val="8"/>
          <c:spPr>
            <a:solidFill>
              <a:schemeClr val="accent2">
                <a:lumMod val="5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38100" cap="rnd">
            <a:solidFill>
              <a:schemeClr val="accent1"/>
            </a:solidFill>
            <a:round/>
          </a:ln>
          <a:effectLst/>
        </c:spPr>
        <c:marker>
          <c:symbol val="circle"/>
          <c:size val="8"/>
          <c:spPr>
            <a:solidFill>
              <a:schemeClr val="accent3">
                <a:lumMod val="5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38100" cap="rnd">
            <a:solidFill>
              <a:schemeClr val="accent1"/>
            </a:solidFill>
            <a:round/>
          </a:ln>
          <a:effectLst/>
        </c:spPr>
        <c:marker>
          <c:symbol val="circle"/>
          <c:size val="8"/>
          <c:spPr>
            <a:solidFill>
              <a:schemeClr val="accent4">
                <a:lumMod val="5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w="38100" cap="rnd">
            <a:solidFill>
              <a:schemeClr val="accent1"/>
            </a:solidFill>
            <a:round/>
          </a:ln>
          <a:effectLst/>
        </c:spPr>
        <c:marker>
          <c:symbol val="circle"/>
          <c:size val="8"/>
          <c:spPr>
            <a:solidFill>
              <a:schemeClr val="accent5">
                <a:lumMod val="5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w="38100" cap="rnd">
            <a:solidFill>
              <a:schemeClr val="accent1"/>
            </a:solidFill>
            <a:round/>
          </a:ln>
          <a:effectLst/>
        </c:spPr>
        <c:marker>
          <c:symbol val="circle"/>
          <c:size val="8"/>
          <c:spPr>
            <a:solidFill>
              <a:schemeClr val="accent6">
                <a:lumMod val="5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w="38100" cap="rnd">
            <a:solidFill>
              <a:schemeClr val="accent1"/>
            </a:solidFill>
            <a:round/>
          </a:ln>
          <a:effectLst/>
        </c:spPr>
        <c:marker>
          <c:symbol val="circle"/>
          <c:size val="8"/>
          <c:spPr>
            <a:solidFill>
              <a:schemeClr val="accent1">
                <a:lumMod val="70000"/>
                <a:lumOff val="3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w="38100" cap="rnd">
            <a:solidFill>
              <a:schemeClr val="accent1"/>
            </a:solidFill>
            <a:round/>
          </a:ln>
          <a:effectLst/>
        </c:spPr>
        <c:marker>
          <c:symbol val="circle"/>
          <c:size val="8"/>
          <c:spPr>
            <a:solidFill>
              <a:schemeClr val="accent2">
                <a:lumMod val="70000"/>
                <a:lumOff val="3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w="38100" cap="rnd">
            <a:solidFill>
              <a:schemeClr val="accent1"/>
            </a:solidFill>
            <a:round/>
          </a:ln>
          <a:effectLst/>
        </c:spPr>
        <c:marker>
          <c:symbol val="circle"/>
          <c:size val="8"/>
          <c:spPr>
            <a:solidFill>
              <a:schemeClr val="accent3">
                <a:lumMod val="70000"/>
                <a:lumOff val="3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w="38100" cap="rnd">
            <a:solidFill>
              <a:schemeClr val="accent1"/>
            </a:solidFill>
            <a:round/>
          </a:ln>
          <a:effectLst/>
        </c:spPr>
        <c:marker>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w="38100" cap="rnd">
            <a:solidFill>
              <a:schemeClr val="accent1"/>
            </a:solidFill>
            <a:round/>
          </a:ln>
          <a:effectLst/>
        </c:spPr>
        <c:marker>
          <c:symbol val="circle"/>
          <c:size val="8"/>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w="38100" cap="rnd">
            <a:solidFill>
              <a:schemeClr val="accent1"/>
            </a:solidFill>
            <a:round/>
          </a:ln>
          <a:effectLst/>
        </c:spPr>
        <c:marker>
          <c:symbol val="circle"/>
          <c:size val="8"/>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w="38100" cap="rnd">
            <a:solidFill>
              <a:schemeClr val="accent1"/>
            </a:solidFill>
            <a:round/>
          </a:ln>
          <a:effectLst/>
        </c:spPr>
        <c:marker>
          <c:symbol val="circle"/>
          <c:size val="8"/>
          <c:spPr>
            <a:solidFill>
              <a:schemeClr val="accent3"/>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w="38100" cap="rnd">
            <a:solidFill>
              <a:schemeClr val="accent1"/>
            </a:solidFill>
            <a:round/>
          </a:ln>
          <a:effectLst/>
        </c:spPr>
        <c:marker>
          <c:symbol val="circle"/>
          <c:size val="8"/>
          <c:spPr>
            <a:solidFill>
              <a:schemeClr val="accent4"/>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w="38100" cap="rnd">
            <a:solidFill>
              <a:schemeClr val="accent1"/>
            </a:solidFill>
            <a:round/>
          </a:ln>
          <a:effectLst/>
        </c:spPr>
        <c:marker>
          <c:symbol val="circle"/>
          <c:size val="8"/>
          <c:spPr>
            <a:solidFill>
              <a:schemeClr val="accent5"/>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w="38100" cap="rnd">
            <a:solidFill>
              <a:schemeClr val="accent1"/>
            </a:solidFill>
            <a:round/>
          </a:ln>
          <a:effectLst/>
        </c:spPr>
        <c:marker>
          <c:symbol val="circle"/>
          <c:size val="8"/>
          <c:spPr>
            <a:solidFill>
              <a:schemeClr val="accent6"/>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w="38100" cap="rnd">
            <a:solidFill>
              <a:schemeClr val="accent1"/>
            </a:solidFill>
            <a:round/>
          </a:ln>
          <a:effectLst/>
        </c:spPr>
        <c:marker>
          <c:symbol val="circle"/>
          <c:size val="8"/>
          <c:spPr>
            <a:solidFill>
              <a:schemeClr val="accent1">
                <a:lumMod val="6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w="38100" cap="rnd">
            <a:solidFill>
              <a:schemeClr val="accent1"/>
            </a:solidFill>
            <a:round/>
          </a:ln>
          <a:effectLst/>
        </c:spPr>
        <c:marker>
          <c:symbol val="circle"/>
          <c:size val="8"/>
          <c:spPr>
            <a:solidFill>
              <a:schemeClr val="accent2">
                <a:lumMod val="6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w="38100" cap="rnd">
            <a:solidFill>
              <a:schemeClr val="accent1"/>
            </a:solidFill>
            <a:round/>
          </a:ln>
          <a:effectLst/>
        </c:spPr>
        <c:marker>
          <c:symbol val="circle"/>
          <c:size val="8"/>
          <c:spPr>
            <a:solidFill>
              <a:schemeClr val="accent3">
                <a:lumMod val="6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w="38100" cap="rnd">
            <a:solidFill>
              <a:schemeClr val="accent1"/>
            </a:solidFill>
            <a:round/>
          </a:ln>
          <a:effectLst/>
        </c:spPr>
        <c:marker>
          <c:symbol val="circle"/>
          <c:size val="8"/>
          <c:spPr>
            <a:solidFill>
              <a:schemeClr val="accent4">
                <a:lumMod val="6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w="38100" cap="rnd">
            <a:solidFill>
              <a:schemeClr val="accent1"/>
            </a:solidFill>
            <a:round/>
          </a:ln>
          <a:effectLst/>
        </c:spPr>
        <c:marker>
          <c:symbol val="circle"/>
          <c:size val="8"/>
          <c:spPr>
            <a:solidFill>
              <a:schemeClr val="accent5">
                <a:lumMod val="6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w="38100" cap="rnd">
            <a:solidFill>
              <a:schemeClr val="accent1"/>
            </a:solidFill>
            <a:round/>
          </a:ln>
          <a:effectLst/>
        </c:spPr>
        <c:marker>
          <c:symbol val="circle"/>
          <c:size val="8"/>
          <c:spPr>
            <a:solidFill>
              <a:schemeClr val="accent6">
                <a:lumMod val="6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w="38100" cap="rnd">
            <a:solidFill>
              <a:schemeClr val="accent1"/>
            </a:solidFill>
            <a:round/>
          </a:ln>
          <a:effectLst/>
        </c:spPr>
        <c:marker>
          <c:symbol val="circle"/>
          <c:size val="8"/>
          <c:spPr>
            <a:solidFill>
              <a:schemeClr val="accent1">
                <a:lumMod val="80000"/>
                <a:lumOff val="2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w="38100" cap="rnd">
            <a:solidFill>
              <a:schemeClr val="accent1"/>
            </a:solidFill>
            <a:round/>
          </a:ln>
          <a:effectLst/>
        </c:spPr>
        <c:marker>
          <c:symbol val="circle"/>
          <c:size val="8"/>
          <c:spPr>
            <a:solidFill>
              <a:schemeClr val="accent2">
                <a:lumMod val="80000"/>
                <a:lumOff val="2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w="38100" cap="rnd">
            <a:solidFill>
              <a:schemeClr val="accent1"/>
            </a:solidFill>
            <a:round/>
          </a:ln>
          <a:effectLst/>
        </c:spPr>
        <c:marker>
          <c:symbol val="circle"/>
          <c:size val="8"/>
          <c:spPr>
            <a:solidFill>
              <a:schemeClr val="accent3">
                <a:lumMod val="80000"/>
                <a:lumOff val="2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w="38100" cap="rnd">
            <a:solidFill>
              <a:schemeClr val="accent1"/>
            </a:solidFill>
            <a:round/>
          </a:ln>
          <a:effectLst/>
        </c:spPr>
        <c:marker>
          <c:symbol val="circle"/>
          <c:size val="8"/>
          <c:spPr>
            <a:solidFill>
              <a:schemeClr val="accent4">
                <a:lumMod val="80000"/>
                <a:lumOff val="2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w="38100" cap="rnd">
            <a:solidFill>
              <a:schemeClr val="accent1"/>
            </a:solidFill>
            <a:round/>
          </a:ln>
          <a:effectLst/>
        </c:spPr>
        <c:marker>
          <c:symbol val="circle"/>
          <c:size val="8"/>
          <c:spPr>
            <a:solidFill>
              <a:schemeClr val="accent5">
                <a:lumMod val="80000"/>
                <a:lumOff val="2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w="38100" cap="rnd">
            <a:solidFill>
              <a:schemeClr val="accent1"/>
            </a:solidFill>
            <a:round/>
          </a:ln>
          <a:effectLst/>
        </c:spPr>
        <c:marker>
          <c:symbol val="circle"/>
          <c:size val="8"/>
          <c:spPr>
            <a:solidFill>
              <a:schemeClr val="accent6">
                <a:lumMod val="80000"/>
                <a:lumOff val="2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w="38100" cap="rnd">
            <a:solidFill>
              <a:schemeClr val="accent1"/>
            </a:solidFill>
            <a:round/>
          </a:ln>
          <a:effectLst/>
        </c:spPr>
        <c:marker>
          <c:symbol val="circle"/>
          <c:size val="8"/>
          <c:spPr>
            <a:solidFill>
              <a:schemeClr val="accent1">
                <a:lumMod val="8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w="38100" cap="rnd">
            <a:solidFill>
              <a:schemeClr val="accent1"/>
            </a:solidFill>
            <a:round/>
          </a:ln>
          <a:effectLst/>
        </c:spPr>
        <c:marker>
          <c:symbol val="circle"/>
          <c:size val="8"/>
          <c:spPr>
            <a:solidFill>
              <a:schemeClr val="accent2">
                <a:lumMod val="8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w="38100" cap="rnd">
            <a:solidFill>
              <a:schemeClr val="accent1"/>
            </a:solidFill>
            <a:round/>
          </a:ln>
          <a:effectLst/>
        </c:spPr>
        <c:marker>
          <c:symbol val="circle"/>
          <c:size val="8"/>
          <c:spPr>
            <a:solidFill>
              <a:schemeClr val="accent3">
                <a:lumMod val="8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w="38100" cap="rnd">
            <a:solidFill>
              <a:schemeClr val="accent1"/>
            </a:solidFill>
            <a:round/>
          </a:ln>
          <a:effectLst/>
        </c:spPr>
        <c:marker>
          <c:symbol val="circle"/>
          <c:size val="8"/>
          <c:spPr>
            <a:solidFill>
              <a:schemeClr val="accent4">
                <a:lumMod val="8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1"/>
          </a:solidFill>
          <a:ln w="38100" cap="rnd">
            <a:solidFill>
              <a:schemeClr val="accent1"/>
            </a:solidFill>
            <a:round/>
          </a:ln>
          <a:effectLst/>
        </c:spPr>
        <c:marker>
          <c:symbol val="circle"/>
          <c:size val="8"/>
          <c:spPr>
            <a:solidFill>
              <a:schemeClr val="accent5">
                <a:lumMod val="8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w="38100" cap="rnd">
            <a:solidFill>
              <a:schemeClr val="accent1"/>
            </a:solidFill>
            <a:round/>
          </a:ln>
          <a:effectLst/>
        </c:spPr>
        <c:marker>
          <c:symbol val="circle"/>
          <c:size val="8"/>
          <c:spPr>
            <a:solidFill>
              <a:schemeClr val="accent6">
                <a:lumMod val="8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1"/>
          </a:solidFill>
          <a:ln w="38100" cap="rnd">
            <a:solidFill>
              <a:schemeClr val="accent1"/>
            </a:solidFill>
            <a:round/>
          </a:ln>
          <a:effectLst/>
        </c:spPr>
        <c:marker>
          <c:symbol val="circle"/>
          <c:size val="8"/>
          <c:spPr>
            <a:solidFill>
              <a:schemeClr val="accent1">
                <a:lumMod val="60000"/>
                <a:lumOff val="4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1"/>
          </a:solidFill>
          <a:ln w="38100" cap="rnd">
            <a:solidFill>
              <a:schemeClr val="accent1"/>
            </a:solidFill>
            <a:round/>
          </a:ln>
          <a:effectLst/>
        </c:spPr>
        <c:marker>
          <c:symbol val="circle"/>
          <c:size val="8"/>
          <c:spPr>
            <a:solidFill>
              <a:schemeClr val="accent2">
                <a:lumMod val="60000"/>
                <a:lumOff val="4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1"/>
          </a:solidFill>
          <a:ln w="38100" cap="rnd">
            <a:solidFill>
              <a:schemeClr val="accent1"/>
            </a:solidFill>
            <a:round/>
          </a:ln>
          <a:effectLst/>
        </c:spPr>
        <c:marker>
          <c:symbol val="circle"/>
          <c:size val="8"/>
          <c:spPr>
            <a:solidFill>
              <a:schemeClr val="accent3">
                <a:lumMod val="60000"/>
                <a:lumOff val="4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1"/>
          </a:solidFill>
          <a:ln w="38100" cap="rnd">
            <a:solidFill>
              <a:schemeClr val="accent1"/>
            </a:solidFill>
            <a:round/>
          </a:ln>
          <a:effectLst/>
        </c:spPr>
        <c:marker>
          <c:symbol val="circle"/>
          <c:size val="8"/>
          <c:spPr>
            <a:solidFill>
              <a:schemeClr val="accent4">
                <a:lumMod val="60000"/>
                <a:lumOff val="4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1"/>
          </a:solidFill>
          <a:ln w="38100" cap="rnd">
            <a:solidFill>
              <a:schemeClr val="accent1"/>
            </a:solidFill>
            <a:round/>
          </a:ln>
          <a:effectLst/>
        </c:spPr>
        <c:marker>
          <c:symbol val="circle"/>
          <c:size val="8"/>
          <c:spPr>
            <a:solidFill>
              <a:schemeClr val="accent5">
                <a:lumMod val="60000"/>
                <a:lumOff val="4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w="38100" cap="rnd">
            <a:solidFill>
              <a:schemeClr val="accent1"/>
            </a:solidFill>
            <a:round/>
          </a:ln>
          <a:effectLst/>
        </c:spPr>
        <c:marker>
          <c:symbol val="circle"/>
          <c:size val="8"/>
          <c:spPr>
            <a:solidFill>
              <a:schemeClr val="accent6">
                <a:lumMod val="60000"/>
                <a:lumOff val="4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w="38100" cap="rnd">
            <a:solidFill>
              <a:schemeClr val="accent1"/>
            </a:solidFill>
            <a:round/>
          </a:ln>
          <a:effectLst/>
        </c:spPr>
        <c:marker>
          <c:symbol val="circle"/>
          <c:size val="8"/>
          <c:spPr>
            <a:solidFill>
              <a:schemeClr val="accent1">
                <a:lumMod val="5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1"/>
        <c:spPr>
          <a:solidFill>
            <a:schemeClr val="accent1"/>
          </a:solidFill>
          <a:ln w="38100" cap="rnd">
            <a:solidFill>
              <a:schemeClr val="accent1"/>
            </a:solidFill>
            <a:round/>
          </a:ln>
          <a:effectLst/>
        </c:spPr>
        <c:marker>
          <c:symbol val="circle"/>
          <c:size val="8"/>
          <c:spPr>
            <a:solidFill>
              <a:schemeClr val="accent2">
                <a:lumMod val="5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1"/>
          </a:solidFill>
          <a:ln w="38100" cap="rnd">
            <a:solidFill>
              <a:schemeClr val="accent1"/>
            </a:solidFill>
            <a:round/>
          </a:ln>
          <a:effectLst/>
        </c:spPr>
        <c:marker>
          <c:symbol val="circle"/>
          <c:size val="8"/>
          <c:spPr>
            <a:solidFill>
              <a:schemeClr val="accent3">
                <a:lumMod val="5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3"/>
        <c:spPr>
          <a:solidFill>
            <a:schemeClr val="accent1"/>
          </a:solidFill>
          <a:ln w="38100" cap="rnd">
            <a:solidFill>
              <a:schemeClr val="accent1"/>
            </a:solidFill>
            <a:round/>
          </a:ln>
          <a:effectLst/>
        </c:spPr>
        <c:marker>
          <c:symbol val="circle"/>
          <c:size val="8"/>
          <c:spPr>
            <a:solidFill>
              <a:schemeClr val="accent4">
                <a:lumMod val="5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4"/>
        <c:spPr>
          <a:solidFill>
            <a:schemeClr val="accent1"/>
          </a:solidFill>
          <a:ln w="38100" cap="rnd">
            <a:solidFill>
              <a:schemeClr val="accent1"/>
            </a:solidFill>
            <a:round/>
          </a:ln>
          <a:effectLst/>
        </c:spPr>
        <c:marker>
          <c:symbol val="circle"/>
          <c:size val="8"/>
          <c:spPr>
            <a:solidFill>
              <a:schemeClr val="accent5">
                <a:lumMod val="5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5"/>
        <c:spPr>
          <a:solidFill>
            <a:schemeClr val="accent1"/>
          </a:solidFill>
          <a:ln w="38100" cap="rnd">
            <a:solidFill>
              <a:schemeClr val="accent1"/>
            </a:solidFill>
            <a:round/>
          </a:ln>
          <a:effectLst/>
        </c:spPr>
        <c:marker>
          <c:symbol val="circle"/>
          <c:size val="8"/>
          <c:spPr>
            <a:solidFill>
              <a:schemeClr val="accent6">
                <a:lumMod val="5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6"/>
        <c:spPr>
          <a:solidFill>
            <a:schemeClr val="accent1"/>
          </a:solidFill>
          <a:ln w="38100" cap="rnd">
            <a:solidFill>
              <a:schemeClr val="accent1"/>
            </a:solidFill>
            <a:round/>
          </a:ln>
          <a:effectLst/>
        </c:spPr>
        <c:marker>
          <c:symbol val="circle"/>
          <c:size val="8"/>
          <c:spPr>
            <a:solidFill>
              <a:schemeClr val="accent1">
                <a:lumMod val="70000"/>
                <a:lumOff val="3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7"/>
        <c:spPr>
          <a:solidFill>
            <a:schemeClr val="accent1"/>
          </a:solidFill>
          <a:ln w="38100" cap="rnd">
            <a:solidFill>
              <a:schemeClr val="accent1"/>
            </a:solidFill>
            <a:round/>
          </a:ln>
          <a:effectLst/>
        </c:spPr>
        <c:marker>
          <c:symbol val="circle"/>
          <c:size val="8"/>
          <c:spPr>
            <a:solidFill>
              <a:schemeClr val="accent2">
                <a:lumMod val="70000"/>
                <a:lumOff val="3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8"/>
        <c:spPr>
          <a:solidFill>
            <a:schemeClr val="accent1"/>
          </a:solidFill>
          <a:ln w="38100" cap="rnd">
            <a:solidFill>
              <a:schemeClr val="accent1"/>
            </a:solidFill>
            <a:round/>
          </a:ln>
          <a:effectLst/>
        </c:spPr>
        <c:marker>
          <c:symbol val="circle"/>
          <c:size val="8"/>
          <c:spPr>
            <a:solidFill>
              <a:schemeClr val="accent3">
                <a:lumMod val="70000"/>
                <a:lumOff val="3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9"/>
        <c:spPr>
          <a:ln w="38100" cap="rnd">
            <a:solidFill>
              <a:schemeClr val="accent1"/>
            </a:solidFill>
            <a:round/>
          </a:ln>
          <a:effectLst/>
        </c:spPr>
        <c:marker>
          <c:symbol val="circle"/>
          <c:size val="8"/>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0"/>
        <c:spPr>
          <a:ln w="38100" cap="rnd">
            <a:solidFill>
              <a:schemeClr val="accent1"/>
            </a:solidFill>
            <a:round/>
          </a:ln>
          <a:effectLst/>
        </c:spPr>
        <c:marker>
          <c:symbol val="circle"/>
          <c:size val="8"/>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1"/>
        <c:spPr>
          <a:ln w="38100" cap="rnd">
            <a:solidFill>
              <a:schemeClr val="accent1"/>
            </a:solidFill>
            <a:round/>
          </a:ln>
          <a:effectLst/>
        </c:spPr>
        <c:marker>
          <c:symbol val="circle"/>
          <c:size val="8"/>
          <c:spPr>
            <a:solidFill>
              <a:schemeClr val="accent3"/>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2"/>
        <c:spPr>
          <a:ln w="38100" cap="rnd">
            <a:solidFill>
              <a:schemeClr val="accent1"/>
            </a:solidFill>
            <a:round/>
          </a:ln>
          <a:effectLst/>
        </c:spPr>
        <c:marker>
          <c:symbol val="circle"/>
          <c:size val="8"/>
          <c:spPr>
            <a:solidFill>
              <a:schemeClr val="accent4"/>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3"/>
        <c:spPr>
          <a:ln w="38100" cap="rnd">
            <a:solidFill>
              <a:schemeClr val="accent1"/>
            </a:solidFill>
            <a:round/>
          </a:ln>
          <a:effectLst/>
        </c:spPr>
        <c:marker>
          <c:symbol val="circle"/>
          <c:size val="8"/>
          <c:spPr>
            <a:solidFill>
              <a:schemeClr val="accent5"/>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4"/>
        <c:spPr>
          <a:ln w="38100" cap="rnd">
            <a:solidFill>
              <a:schemeClr val="accent1"/>
            </a:solidFill>
            <a:round/>
          </a:ln>
          <a:effectLst/>
        </c:spPr>
        <c:marker>
          <c:symbol val="circle"/>
          <c:size val="8"/>
          <c:spPr>
            <a:solidFill>
              <a:schemeClr val="accent6"/>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5"/>
        <c:spPr>
          <a:ln w="38100" cap="rnd">
            <a:solidFill>
              <a:schemeClr val="accent1"/>
            </a:solidFill>
            <a:round/>
          </a:ln>
          <a:effectLst/>
        </c:spPr>
        <c:marker>
          <c:symbol val="circle"/>
          <c:size val="8"/>
          <c:spPr>
            <a:solidFill>
              <a:schemeClr val="accent1">
                <a:lumMod val="6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6"/>
        <c:spPr>
          <a:ln w="38100" cap="rnd">
            <a:solidFill>
              <a:schemeClr val="accent1"/>
            </a:solidFill>
            <a:round/>
          </a:ln>
          <a:effectLst/>
        </c:spPr>
        <c:marker>
          <c:symbol val="circle"/>
          <c:size val="8"/>
          <c:spPr>
            <a:solidFill>
              <a:schemeClr val="accent2">
                <a:lumMod val="6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7"/>
        <c:spPr>
          <a:ln w="38100" cap="rnd">
            <a:solidFill>
              <a:schemeClr val="accent1"/>
            </a:solidFill>
            <a:round/>
          </a:ln>
          <a:effectLst/>
        </c:spPr>
        <c:marker>
          <c:symbol val="circle"/>
          <c:size val="8"/>
          <c:spPr>
            <a:solidFill>
              <a:schemeClr val="accent3">
                <a:lumMod val="6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8"/>
        <c:spPr>
          <a:ln w="38100" cap="rnd">
            <a:solidFill>
              <a:schemeClr val="accent1"/>
            </a:solidFill>
            <a:round/>
          </a:ln>
          <a:effectLst/>
        </c:spPr>
        <c:marker>
          <c:symbol val="circle"/>
          <c:size val="8"/>
          <c:spPr>
            <a:solidFill>
              <a:schemeClr val="accent4">
                <a:lumMod val="6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9"/>
        <c:spPr>
          <a:ln w="38100" cap="rnd">
            <a:solidFill>
              <a:schemeClr val="accent1"/>
            </a:solidFill>
            <a:round/>
          </a:ln>
          <a:effectLst/>
        </c:spPr>
        <c:marker>
          <c:symbol val="circle"/>
          <c:size val="8"/>
          <c:spPr>
            <a:solidFill>
              <a:schemeClr val="accent5">
                <a:lumMod val="6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0"/>
        <c:spPr>
          <a:ln w="38100" cap="rnd">
            <a:solidFill>
              <a:schemeClr val="accent1"/>
            </a:solidFill>
            <a:round/>
          </a:ln>
          <a:effectLst/>
        </c:spPr>
        <c:marker>
          <c:symbol val="circle"/>
          <c:size val="8"/>
          <c:spPr>
            <a:solidFill>
              <a:schemeClr val="accent6">
                <a:lumMod val="6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1"/>
        <c:spPr>
          <a:ln w="38100" cap="rnd">
            <a:solidFill>
              <a:schemeClr val="accent1"/>
            </a:solidFill>
            <a:round/>
          </a:ln>
          <a:effectLst/>
        </c:spPr>
        <c:marker>
          <c:symbol val="circle"/>
          <c:size val="8"/>
          <c:spPr>
            <a:solidFill>
              <a:schemeClr val="accent1">
                <a:lumMod val="80000"/>
                <a:lumOff val="2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2"/>
        <c:spPr>
          <a:ln w="38100" cap="rnd">
            <a:solidFill>
              <a:schemeClr val="accent1"/>
            </a:solidFill>
            <a:round/>
          </a:ln>
          <a:effectLst/>
        </c:spPr>
        <c:marker>
          <c:symbol val="circle"/>
          <c:size val="8"/>
          <c:spPr>
            <a:solidFill>
              <a:schemeClr val="accent2">
                <a:lumMod val="80000"/>
                <a:lumOff val="2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3"/>
        <c:spPr>
          <a:ln w="38100" cap="rnd">
            <a:solidFill>
              <a:schemeClr val="accent1"/>
            </a:solidFill>
            <a:round/>
          </a:ln>
          <a:effectLst/>
        </c:spPr>
        <c:marker>
          <c:symbol val="circle"/>
          <c:size val="8"/>
          <c:spPr>
            <a:solidFill>
              <a:schemeClr val="accent3">
                <a:lumMod val="80000"/>
                <a:lumOff val="2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4"/>
        <c:spPr>
          <a:ln w="38100" cap="rnd">
            <a:solidFill>
              <a:schemeClr val="accent1"/>
            </a:solidFill>
            <a:round/>
          </a:ln>
          <a:effectLst/>
        </c:spPr>
        <c:marker>
          <c:symbol val="circle"/>
          <c:size val="8"/>
          <c:spPr>
            <a:solidFill>
              <a:schemeClr val="accent4">
                <a:lumMod val="80000"/>
                <a:lumOff val="2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5"/>
        <c:spPr>
          <a:ln w="38100" cap="rnd">
            <a:solidFill>
              <a:schemeClr val="accent1"/>
            </a:solidFill>
            <a:round/>
          </a:ln>
          <a:effectLst/>
        </c:spPr>
        <c:marker>
          <c:symbol val="circle"/>
          <c:size val="8"/>
          <c:spPr>
            <a:solidFill>
              <a:schemeClr val="accent5">
                <a:lumMod val="80000"/>
                <a:lumOff val="2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6"/>
        <c:spPr>
          <a:ln w="38100" cap="rnd">
            <a:solidFill>
              <a:schemeClr val="accent1"/>
            </a:solidFill>
            <a:round/>
          </a:ln>
          <a:effectLst/>
        </c:spPr>
        <c:marker>
          <c:symbol val="circle"/>
          <c:size val="8"/>
          <c:spPr>
            <a:solidFill>
              <a:schemeClr val="accent6">
                <a:lumMod val="80000"/>
                <a:lumOff val="2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7"/>
        <c:spPr>
          <a:ln w="38100" cap="rnd">
            <a:solidFill>
              <a:schemeClr val="accent1"/>
            </a:solidFill>
            <a:round/>
          </a:ln>
          <a:effectLst/>
        </c:spPr>
        <c:marker>
          <c:symbol val="circle"/>
          <c:size val="8"/>
          <c:spPr>
            <a:solidFill>
              <a:schemeClr val="accent1">
                <a:lumMod val="8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8"/>
        <c:spPr>
          <a:ln w="38100" cap="rnd">
            <a:solidFill>
              <a:schemeClr val="accent1"/>
            </a:solidFill>
            <a:round/>
          </a:ln>
          <a:effectLst/>
        </c:spPr>
        <c:marker>
          <c:symbol val="circle"/>
          <c:size val="8"/>
          <c:spPr>
            <a:solidFill>
              <a:schemeClr val="accent2">
                <a:lumMod val="8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9"/>
        <c:spPr>
          <a:ln w="38100" cap="rnd">
            <a:solidFill>
              <a:schemeClr val="accent1"/>
            </a:solidFill>
            <a:round/>
          </a:ln>
          <a:effectLst/>
        </c:spPr>
        <c:marker>
          <c:symbol val="circle"/>
          <c:size val="8"/>
          <c:spPr>
            <a:solidFill>
              <a:schemeClr val="accent3">
                <a:lumMod val="8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0"/>
        <c:spPr>
          <a:ln w="38100" cap="rnd">
            <a:solidFill>
              <a:schemeClr val="accent1"/>
            </a:solidFill>
            <a:round/>
          </a:ln>
          <a:effectLst/>
        </c:spPr>
        <c:marker>
          <c:symbol val="circle"/>
          <c:size val="8"/>
          <c:spPr>
            <a:solidFill>
              <a:schemeClr val="accent4">
                <a:lumMod val="8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1"/>
        <c:spPr>
          <a:ln w="38100" cap="rnd">
            <a:solidFill>
              <a:schemeClr val="accent1"/>
            </a:solidFill>
            <a:round/>
          </a:ln>
          <a:effectLst/>
        </c:spPr>
        <c:marker>
          <c:symbol val="circle"/>
          <c:size val="8"/>
          <c:spPr>
            <a:solidFill>
              <a:schemeClr val="accent5">
                <a:lumMod val="8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2"/>
        <c:spPr>
          <a:ln w="38100" cap="rnd">
            <a:solidFill>
              <a:schemeClr val="accent1"/>
            </a:solidFill>
            <a:round/>
          </a:ln>
          <a:effectLst/>
        </c:spPr>
        <c:marker>
          <c:symbol val="circle"/>
          <c:size val="8"/>
          <c:spPr>
            <a:solidFill>
              <a:schemeClr val="accent6">
                <a:lumMod val="8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3"/>
        <c:spPr>
          <a:ln w="38100" cap="rnd">
            <a:solidFill>
              <a:schemeClr val="accent1"/>
            </a:solidFill>
            <a:round/>
          </a:ln>
          <a:effectLst/>
        </c:spPr>
        <c:marker>
          <c:symbol val="circle"/>
          <c:size val="8"/>
          <c:spPr>
            <a:solidFill>
              <a:schemeClr val="accent1">
                <a:lumMod val="60000"/>
                <a:lumOff val="4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4"/>
        <c:spPr>
          <a:ln w="38100" cap="rnd">
            <a:solidFill>
              <a:schemeClr val="accent1"/>
            </a:solidFill>
            <a:round/>
          </a:ln>
          <a:effectLst/>
        </c:spPr>
        <c:marker>
          <c:symbol val="circle"/>
          <c:size val="8"/>
          <c:spPr>
            <a:solidFill>
              <a:schemeClr val="accent2">
                <a:lumMod val="60000"/>
                <a:lumOff val="4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5"/>
        <c:spPr>
          <a:ln w="38100" cap="rnd">
            <a:solidFill>
              <a:schemeClr val="accent1"/>
            </a:solidFill>
            <a:round/>
          </a:ln>
          <a:effectLst/>
        </c:spPr>
        <c:marker>
          <c:symbol val="circle"/>
          <c:size val="8"/>
          <c:spPr>
            <a:solidFill>
              <a:schemeClr val="accent3">
                <a:lumMod val="60000"/>
                <a:lumOff val="4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6"/>
        <c:spPr>
          <a:ln w="38100" cap="rnd">
            <a:solidFill>
              <a:schemeClr val="accent1"/>
            </a:solidFill>
            <a:round/>
          </a:ln>
          <a:effectLst/>
        </c:spPr>
        <c:marker>
          <c:symbol val="circle"/>
          <c:size val="8"/>
          <c:spPr>
            <a:solidFill>
              <a:schemeClr val="accent4">
                <a:lumMod val="60000"/>
                <a:lumOff val="4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7"/>
        <c:spPr>
          <a:ln w="38100" cap="rnd">
            <a:solidFill>
              <a:schemeClr val="accent1"/>
            </a:solidFill>
            <a:round/>
          </a:ln>
          <a:effectLst/>
        </c:spPr>
        <c:marker>
          <c:symbol val="circle"/>
          <c:size val="8"/>
          <c:spPr>
            <a:solidFill>
              <a:schemeClr val="accent5">
                <a:lumMod val="60000"/>
                <a:lumOff val="4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8"/>
        <c:spPr>
          <a:ln w="38100" cap="rnd">
            <a:solidFill>
              <a:schemeClr val="accent1"/>
            </a:solidFill>
            <a:round/>
          </a:ln>
          <a:effectLst/>
        </c:spPr>
        <c:marker>
          <c:symbol val="circle"/>
          <c:size val="8"/>
          <c:spPr>
            <a:solidFill>
              <a:schemeClr val="accent6">
                <a:lumMod val="60000"/>
                <a:lumOff val="4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9"/>
        <c:spPr>
          <a:ln w="38100" cap="rnd">
            <a:solidFill>
              <a:schemeClr val="accent1"/>
            </a:solidFill>
            <a:round/>
          </a:ln>
          <a:effectLst/>
        </c:spPr>
        <c:marker>
          <c:symbol val="circle"/>
          <c:size val="8"/>
          <c:spPr>
            <a:solidFill>
              <a:schemeClr val="accent1">
                <a:lumMod val="5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0"/>
        <c:spPr>
          <a:ln w="38100" cap="rnd">
            <a:solidFill>
              <a:schemeClr val="accent1"/>
            </a:solidFill>
            <a:round/>
          </a:ln>
          <a:effectLst/>
        </c:spPr>
        <c:marker>
          <c:symbol val="circle"/>
          <c:size val="8"/>
          <c:spPr>
            <a:solidFill>
              <a:schemeClr val="accent2">
                <a:lumMod val="5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1"/>
        <c:spPr>
          <a:ln w="38100" cap="rnd">
            <a:solidFill>
              <a:schemeClr val="accent1"/>
            </a:solidFill>
            <a:round/>
          </a:ln>
          <a:effectLst/>
        </c:spPr>
        <c:marker>
          <c:symbol val="circle"/>
          <c:size val="8"/>
          <c:spPr>
            <a:solidFill>
              <a:schemeClr val="accent3">
                <a:lumMod val="5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2"/>
        <c:spPr>
          <a:ln w="38100" cap="rnd">
            <a:solidFill>
              <a:schemeClr val="accent1"/>
            </a:solidFill>
            <a:round/>
          </a:ln>
          <a:effectLst/>
        </c:spPr>
        <c:marker>
          <c:symbol val="circle"/>
          <c:size val="8"/>
          <c:spPr>
            <a:solidFill>
              <a:schemeClr val="accent4">
                <a:lumMod val="5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3"/>
        <c:spPr>
          <a:ln w="38100" cap="rnd">
            <a:solidFill>
              <a:schemeClr val="accent1"/>
            </a:solidFill>
            <a:round/>
          </a:ln>
          <a:effectLst/>
        </c:spPr>
        <c:marker>
          <c:symbol val="circle"/>
          <c:size val="8"/>
          <c:spPr>
            <a:solidFill>
              <a:schemeClr val="accent5">
                <a:lumMod val="5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4"/>
        <c:spPr>
          <a:ln w="38100" cap="rnd">
            <a:solidFill>
              <a:schemeClr val="accent1"/>
            </a:solidFill>
            <a:round/>
          </a:ln>
          <a:effectLst/>
        </c:spPr>
        <c:marker>
          <c:symbol val="circle"/>
          <c:size val="8"/>
          <c:spPr>
            <a:solidFill>
              <a:schemeClr val="accent6">
                <a:lumMod val="5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5"/>
        <c:spPr>
          <a:ln w="38100" cap="rnd">
            <a:solidFill>
              <a:schemeClr val="accent1"/>
            </a:solidFill>
            <a:round/>
          </a:ln>
          <a:effectLst/>
        </c:spPr>
        <c:marker>
          <c:symbol val="circle"/>
          <c:size val="8"/>
          <c:spPr>
            <a:solidFill>
              <a:schemeClr val="accent1">
                <a:lumMod val="70000"/>
                <a:lumOff val="3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6"/>
        <c:spPr>
          <a:ln w="38100" cap="rnd">
            <a:solidFill>
              <a:schemeClr val="accent1"/>
            </a:solidFill>
            <a:round/>
          </a:ln>
          <a:effectLst/>
        </c:spPr>
        <c:marker>
          <c:symbol val="circle"/>
          <c:size val="8"/>
          <c:spPr>
            <a:solidFill>
              <a:schemeClr val="accent2">
                <a:lumMod val="70000"/>
                <a:lumOff val="3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7"/>
        <c:spPr>
          <a:ln w="38100" cap="rnd">
            <a:solidFill>
              <a:schemeClr val="accent1"/>
            </a:solidFill>
            <a:round/>
          </a:ln>
          <a:effectLst/>
        </c:spPr>
        <c:marker>
          <c:symbol val="circle"/>
          <c:size val="8"/>
          <c:spPr>
            <a:solidFill>
              <a:schemeClr val="accent3">
                <a:lumMod val="70000"/>
                <a:lumOff val="3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percentStacked"/>
        <c:varyColors val="0"/>
        <c:ser>
          <c:idx val="0"/>
          <c:order val="0"/>
          <c:tx>
            <c:strRef>
              <c:f>Sheet12!$DY$18:$DY$19</c:f>
              <c:strCache>
                <c:ptCount val="1"/>
                <c:pt idx="0">
                  <c:v>Argentina</c:v>
                </c:pt>
              </c:strCache>
            </c:strRef>
          </c:tx>
          <c:spPr>
            <a:ln w="38100" cap="rnd">
              <a:solidFill>
                <a:schemeClr val="accent1"/>
              </a:solidFill>
              <a:round/>
            </a:ln>
            <a:effectLst/>
          </c:spPr>
          <c:marker>
            <c:symbol val="circle"/>
            <c:size val="8"/>
            <c:spPr>
              <a:solidFill>
                <a:schemeClr val="accent1"/>
              </a:solidFill>
              <a:ln>
                <a:noFill/>
              </a:ln>
              <a:effectLst/>
            </c:spPr>
          </c:marker>
          <c:cat>
            <c:strRef>
              <c:f>Sheet12!$DX$20:$DX$21</c:f>
              <c:strCache>
                <c:ptCount val="1"/>
                <c:pt idx="0">
                  <c:v>15/08/24</c:v>
                </c:pt>
              </c:strCache>
            </c:strRef>
          </c:cat>
          <c:val>
            <c:numRef>
              <c:f>Sheet12!$DY$20:$DY$21</c:f>
              <c:numCache>
                <c:formatCode>General</c:formatCode>
                <c:ptCount val="1"/>
                <c:pt idx="0">
                  <c:v>-23.4</c:v>
                </c:pt>
              </c:numCache>
            </c:numRef>
          </c:val>
          <c:smooth val="0"/>
          <c:extLst>
            <c:ext xmlns:c16="http://schemas.microsoft.com/office/drawing/2014/chart" uri="{C3380CC4-5D6E-409C-BE32-E72D297353CC}">
              <c16:uniqueId val="{00000000-D3B3-194D-8A74-3890E21E3D01}"/>
            </c:ext>
          </c:extLst>
        </c:ser>
        <c:ser>
          <c:idx val="1"/>
          <c:order val="1"/>
          <c:tx>
            <c:strRef>
              <c:f>Sheet12!$DZ$18:$DZ$19</c:f>
              <c:strCache>
                <c:ptCount val="1"/>
                <c:pt idx="0">
                  <c:v>Australia</c:v>
                </c:pt>
              </c:strCache>
            </c:strRef>
          </c:tx>
          <c:spPr>
            <a:ln w="38100" cap="rnd">
              <a:solidFill>
                <a:schemeClr val="accent2"/>
              </a:solidFill>
              <a:round/>
            </a:ln>
            <a:effectLst/>
          </c:spPr>
          <c:marker>
            <c:symbol val="circle"/>
            <c:size val="8"/>
            <c:spPr>
              <a:solidFill>
                <a:schemeClr val="accent2"/>
              </a:solidFill>
              <a:ln>
                <a:noFill/>
              </a:ln>
              <a:effectLst/>
            </c:spPr>
          </c:marker>
          <c:cat>
            <c:strRef>
              <c:f>Sheet12!$DX$20:$DX$21</c:f>
              <c:strCache>
                <c:ptCount val="1"/>
                <c:pt idx="0">
                  <c:v>15/08/24</c:v>
                </c:pt>
              </c:strCache>
            </c:strRef>
          </c:cat>
          <c:val>
            <c:numRef>
              <c:f>Sheet12!$DZ$20:$DZ$21</c:f>
              <c:numCache>
                <c:formatCode>General</c:formatCode>
                <c:ptCount val="1"/>
                <c:pt idx="0">
                  <c:v>67.8</c:v>
                </c:pt>
              </c:numCache>
            </c:numRef>
          </c:val>
          <c:smooth val="0"/>
          <c:extLst>
            <c:ext xmlns:c16="http://schemas.microsoft.com/office/drawing/2014/chart" uri="{C3380CC4-5D6E-409C-BE32-E72D297353CC}">
              <c16:uniqueId val="{00000001-D3B3-194D-8A74-3890E21E3D01}"/>
            </c:ext>
          </c:extLst>
        </c:ser>
        <c:ser>
          <c:idx val="2"/>
          <c:order val="2"/>
          <c:tx>
            <c:strRef>
              <c:f>Sheet12!$EA$18:$EA$19</c:f>
              <c:strCache>
                <c:ptCount val="1"/>
                <c:pt idx="0">
                  <c:v>Brazil</c:v>
                </c:pt>
              </c:strCache>
            </c:strRef>
          </c:tx>
          <c:spPr>
            <a:ln w="38100" cap="rnd">
              <a:solidFill>
                <a:schemeClr val="accent3"/>
              </a:solidFill>
              <a:round/>
            </a:ln>
            <a:effectLst/>
          </c:spPr>
          <c:marker>
            <c:symbol val="circle"/>
            <c:size val="8"/>
            <c:spPr>
              <a:solidFill>
                <a:schemeClr val="accent3"/>
              </a:solidFill>
              <a:ln>
                <a:noFill/>
              </a:ln>
              <a:effectLst/>
            </c:spPr>
          </c:marker>
          <c:cat>
            <c:strRef>
              <c:f>Sheet12!$DX$20:$DX$21</c:f>
              <c:strCache>
                <c:ptCount val="1"/>
                <c:pt idx="0">
                  <c:v>15/08/24</c:v>
                </c:pt>
              </c:strCache>
            </c:strRef>
          </c:cat>
          <c:val>
            <c:numRef>
              <c:f>Sheet12!$EA$20:$EA$21</c:f>
              <c:numCache>
                <c:formatCode>General</c:formatCode>
                <c:ptCount val="1"/>
                <c:pt idx="0">
                  <c:v>-46.9</c:v>
                </c:pt>
              </c:numCache>
            </c:numRef>
          </c:val>
          <c:smooth val="0"/>
          <c:extLst>
            <c:ext xmlns:c16="http://schemas.microsoft.com/office/drawing/2014/chart" uri="{C3380CC4-5D6E-409C-BE32-E72D297353CC}">
              <c16:uniqueId val="{00000002-D3B3-194D-8A74-3890E21E3D01}"/>
            </c:ext>
          </c:extLst>
        </c:ser>
        <c:ser>
          <c:idx val="3"/>
          <c:order val="3"/>
          <c:tx>
            <c:strRef>
              <c:f>Sheet12!$EB$18:$EB$19</c:f>
              <c:strCache>
                <c:ptCount val="1"/>
                <c:pt idx="0">
                  <c:v>Canada</c:v>
                </c:pt>
              </c:strCache>
            </c:strRef>
          </c:tx>
          <c:spPr>
            <a:ln w="38100" cap="rnd">
              <a:solidFill>
                <a:schemeClr val="accent4"/>
              </a:solidFill>
              <a:round/>
            </a:ln>
            <a:effectLst/>
          </c:spPr>
          <c:marker>
            <c:symbol val="circle"/>
            <c:size val="8"/>
            <c:spPr>
              <a:solidFill>
                <a:schemeClr val="accent4"/>
              </a:solidFill>
              <a:ln>
                <a:noFill/>
              </a:ln>
              <a:effectLst/>
            </c:spPr>
          </c:marker>
          <c:cat>
            <c:strRef>
              <c:f>Sheet12!$DX$20:$DX$21</c:f>
              <c:strCache>
                <c:ptCount val="1"/>
                <c:pt idx="0">
                  <c:v>15/08/24</c:v>
                </c:pt>
              </c:strCache>
            </c:strRef>
          </c:cat>
          <c:val>
            <c:numRef>
              <c:f>Sheet12!$EB$20:$EB$21</c:f>
              <c:numCache>
                <c:formatCode>General</c:formatCode>
                <c:ptCount val="1"/>
                <c:pt idx="0">
                  <c:v>12.8</c:v>
                </c:pt>
              </c:numCache>
            </c:numRef>
          </c:val>
          <c:smooth val="0"/>
          <c:extLst>
            <c:ext xmlns:c16="http://schemas.microsoft.com/office/drawing/2014/chart" uri="{C3380CC4-5D6E-409C-BE32-E72D297353CC}">
              <c16:uniqueId val="{00000003-D3B3-194D-8A74-3890E21E3D01}"/>
            </c:ext>
          </c:extLst>
        </c:ser>
        <c:ser>
          <c:idx val="4"/>
          <c:order val="4"/>
          <c:tx>
            <c:strRef>
              <c:f>Sheet12!$EC$18:$EC$19</c:f>
              <c:strCache>
                <c:ptCount val="1"/>
                <c:pt idx="0">
                  <c:v>Chile</c:v>
                </c:pt>
              </c:strCache>
            </c:strRef>
          </c:tx>
          <c:spPr>
            <a:ln w="38100" cap="rnd">
              <a:solidFill>
                <a:schemeClr val="accent5"/>
              </a:solidFill>
              <a:round/>
            </a:ln>
            <a:effectLst/>
          </c:spPr>
          <c:marker>
            <c:symbol val="circle"/>
            <c:size val="8"/>
            <c:spPr>
              <a:solidFill>
                <a:schemeClr val="accent5"/>
              </a:solidFill>
              <a:ln>
                <a:noFill/>
              </a:ln>
              <a:effectLst/>
            </c:spPr>
          </c:marker>
          <c:cat>
            <c:strRef>
              <c:f>Sheet12!$DX$20:$DX$21</c:f>
              <c:strCache>
                <c:ptCount val="1"/>
                <c:pt idx="0">
                  <c:v>15/08/24</c:v>
                </c:pt>
              </c:strCache>
            </c:strRef>
          </c:cat>
          <c:val>
            <c:numRef>
              <c:f>Sheet12!$EC$20:$EC$21</c:f>
              <c:numCache>
                <c:formatCode>General</c:formatCode>
                <c:ptCount val="1"/>
                <c:pt idx="0">
                  <c:v>23.4</c:v>
                </c:pt>
              </c:numCache>
            </c:numRef>
          </c:val>
          <c:smooth val="0"/>
          <c:extLst>
            <c:ext xmlns:c16="http://schemas.microsoft.com/office/drawing/2014/chart" uri="{C3380CC4-5D6E-409C-BE32-E72D297353CC}">
              <c16:uniqueId val="{00000004-D3B3-194D-8A74-3890E21E3D01}"/>
            </c:ext>
          </c:extLst>
        </c:ser>
        <c:ser>
          <c:idx val="5"/>
          <c:order val="5"/>
          <c:tx>
            <c:strRef>
              <c:f>Sheet12!$ED$18:$ED$19</c:f>
              <c:strCache>
                <c:ptCount val="1"/>
                <c:pt idx="0">
                  <c:v>China</c:v>
                </c:pt>
              </c:strCache>
            </c:strRef>
          </c:tx>
          <c:spPr>
            <a:ln w="38100" cap="rnd">
              <a:solidFill>
                <a:schemeClr val="accent6"/>
              </a:solidFill>
              <a:round/>
            </a:ln>
            <a:effectLst/>
          </c:spPr>
          <c:marker>
            <c:symbol val="circle"/>
            <c:size val="8"/>
            <c:spPr>
              <a:solidFill>
                <a:schemeClr val="accent6"/>
              </a:solidFill>
              <a:ln>
                <a:noFill/>
              </a:ln>
              <a:effectLst/>
            </c:spPr>
          </c:marker>
          <c:cat>
            <c:strRef>
              <c:f>Sheet12!$DX$20:$DX$21</c:f>
              <c:strCache>
                <c:ptCount val="1"/>
                <c:pt idx="0">
                  <c:v>15/08/24</c:v>
                </c:pt>
              </c:strCache>
            </c:strRef>
          </c:cat>
          <c:val>
            <c:numRef>
              <c:f>Sheet12!$ED$20:$ED$21</c:f>
              <c:numCache>
                <c:formatCode>General</c:formatCode>
                <c:ptCount val="1"/>
                <c:pt idx="0">
                  <c:v>382.9</c:v>
                </c:pt>
              </c:numCache>
            </c:numRef>
          </c:val>
          <c:smooth val="0"/>
          <c:extLst>
            <c:ext xmlns:c16="http://schemas.microsoft.com/office/drawing/2014/chart" uri="{C3380CC4-5D6E-409C-BE32-E72D297353CC}">
              <c16:uniqueId val="{00000005-D3B3-194D-8A74-3890E21E3D01}"/>
            </c:ext>
          </c:extLst>
        </c:ser>
        <c:ser>
          <c:idx val="6"/>
          <c:order val="6"/>
          <c:tx>
            <c:strRef>
              <c:f>Sheet12!$EE$18:$EE$19</c:f>
              <c:strCache>
                <c:ptCount val="1"/>
                <c:pt idx="0">
                  <c:v>Colombia</c:v>
                </c:pt>
              </c:strCache>
            </c:strRef>
          </c:tx>
          <c:spPr>
            <a:ln w="38100" cap="rnd">
              <a:solidFill>
                <a:schemeClr val="accent1">
                  <a:lumMod val="60000"/>
                </a:schemeClr>
              </a:solidFill>
              <a:round/>
            </a:ln>
            <a:effectLst/>
          </c:spPr>
          <c:marker>
            <c:symbol val="circle"/>
            <c:size val="8"/>
            <c:spPr>
              <a:solidFill>
                <a:schemeClr val="accent1">
                  <a:lumMod val="60000"/>
                </a:schemeClr>
              </a:solidFill>
              <a:ln>
                <a:noFill/>
              </a:ln>
              <a:effectLst/>
            </c:spPr>
          </c:marker>
          <c:cat>
            <c:strRef>
              <c:f>Sheet12!$DX$20:$DX$21</c:f>
              <c:strCache>
                <c:ptCount val="1"/>
                <c:pt idx="0">
                  <c:v>15/08/24</c:v>
                </c:pt>
              </c:strCache>
            </c:strRef>
          </c:cat>
          <c:val>
            <c:numRef>
              <c:f>Sheet12!$EE$20:$EE$21</c:f>
              <c:numCache>
                <c:formatCode>General</c:formatCode>
                <c:ptCount val="1"/>
                <c:pt idx="0">
                  <c:v>-12.1</c:v>
                </c:pt>
              </c:numCache>
            </c:numRef>
          </c:val>
          <c:smooth val="0"/>
          <c:extLst>
            <c:ext xmlns:c16="http://schemas.microsoft.com/office/drawing/2014/chart" uri="{C3380CC4-5D6E-409C-BE32-E72D297353CC}">
              <c16:uniqueId val="{00000006-D3B3-194D-8A74-3890E21E3D01}"/>
            </c:ext>
          </c:extLst>
        </c:ser>
        <c:ser>
          <c:idx val="7"/>
          <c:order val="7"/>
          <c:tx>
            <c:strRef>
              <c:f>Sheet12!$EF$18:$EF$19</c:f>
              <c:strCache>
                <c:ptCount val="1"/>
                <c:pt idx="0">
                  <c:v>Denmark</c:v>
                </c:pt>
              </c:strCache>
            </c:strRef>
          </c:tx>
          <c:spPr>
            <a:ln w="38100" cap="rnd">
              <a:solidFill>
                <a:schemeClr val="accent2">
                  <a:lumMod val="60000"/>
                </a:schemeClr>
              </a:solidFill>
              <a:round/>
            </a:ln>
            <a:effectLst/>
          </c:spPr>
          <c:marker>
            <c:symbol val="circle"/>
            <c:size val="8"/>
            <c:spPr>
              <a:solidFill>
                <a:schemeClr val="accent2">
                  <a:lumMod val="60000"/>
                </a:schemeClr>
              </a:solidFill>
              <a:ln>
                <a:noFill/>
              </a:ln>
              <a:effectLst/>
            </c:spPr>
          </c:marker>
          <c:cat>
            <c:strRef>
              <c:f>Sheet12!$DX$20:$DX$21</c:f>
              <c:strCache>
                <c:ptCount val="1"/>
                <c:pt idx="0">
                  <c:v>15/08/24</c:v>
                </c:pt>
              </c:strCache>
            </c:strRef>
          </c:cat>
          <c:val>
            <c:numRef>
              <c:f>Sheet12!$EF$20:$EF$21</c:f>
              <c:numCache>
                <c:formatCode>General</c:formatCode>
                <c:ptCount val="1"/>
                <c:pt idx="0">
                  <c:v>23.4</c:v>
                </c:pt>
              </c:numCache>
            </c:numRef>
          </c:val>
          <c:smooth val="0"/>
          <c:extLst>
            <c:ext xmlns:c16="http://schemas.microsoft.com/office/drawing/2014/chart" uri="{C3380CC4-5D6E-409C-BE32-E72D297353CC}">
              <c16:uniqueId val="{00000007-D3B3-194D-8A74-3890E21E3D01}"/>
            </c:ext>
          </c:extLst>
        </c:ser>
        <c:ser>
          <c:idx val="8"/>
          <c:order val="8"/>
          <c:tx>
            <c:strRef>
              <c:f>Sheet12!$EG$18:$EG$19</c:f>
              <c:strCache>
                <c:ptCount val="1"/>
                <c:pt idx="0">
                  <c:v>Egypt</c:v>
                </c:pt>
              </c:strCache>
            </c:strRef>
          </c:tx>
          <c:spPr>
            <a:ln w="38100" cap="rnd">
              <a:solidFill>
                <a:schemeClr val="accent3">
                  <a:lumMod val="60000"/>
                </a:schemeClr>
              </a:solidFill>
              <a:round/>
            </a:ln>
            <a:effectLst/>
          </c:spPr>
          <c:marker>
            <c:symbol val="circle"/>
            <c:size val="8"/>
            <c:spPr>
              <a:solidFill>
                <a:schemeClr val="accent3">
                  <a:lumMod val="60000"/>
                </a:schemeClr>
              </a:solidFill>
              <a:ln>
                <a:noFill/>
              </a:ln>
              <a:effectLst/>
            </c:spPr>
          </c:marker>
          <c:cat>
            <c:strRef>
              <c:f>Sheet12!$DX$20:$DX$21</c:f>
              <c:strCache>
                <c:ptCount val="1"/>
                <c:pt idx="0">
                  <c:v>15/08/24</c:v>
                </c:pt>
              </c:strCache>
            </c:strRef>
          </c:cat>
          <c:val>
            <c:numRef>
              <c:f>Sheet12!$EG$20:$EG$21</c:f>
              <c:numCache>
                <c:formatCode>General</c:formatCode>
                <c:ptCount val="1"/>
                <c:pt idx="0">
                  <c:v>-18.899999999999999</c:v>
                </c:pt>
              </c:numCache>
            </c:numRef>
          </c:val>
          <c:smooth val="0"/>
          <c:extLst>
            <c:ext xmlns:c16="http://schemas.microsoft.com/office/drawing/2014/chart" uri="{C3380CC4-5D6E-409C-BE32-E72D297353CC}">
              <c16:uniqueId val="{00000008-D3B3-194D-8A74-3890E21E3D01}"/>
            </c:ext>
          </c:extLst>
        </c:ser>
        <c:ser>
          <c:idx val="9"/>
          <c:order val="9"/>
          <c:tx>
            <c:strRef>
              <c:f>Sheet12!$EH$18:$EH$19</c:f>
              <c:strCache>
                <c:ptCount val="1"/>
                <c:pt idx="0">
                  <c:v>France</c:v>
                </c:pt>
              </c:strCache>
            </c:strRef>
          </c:tx>
          <c:spPr>
            <a:ln w="38100" cap="rnd">
              <a:solidFill>
                <a:schemeClr val="accent4">
                  <a:lumMod val="60000"/>
                </a:schemeClr>
              </a:solidFill>
              <a:round/>
            </a:ln>
            <a:effectLst/>
          </c:spPr>
          <c:marker>
            <c:symbol val="circle"/>
            <c:size val="8"/>
            <c:spPr>
              <a:solidFill>
                <a:schemeClr val="accent4">
                  <a:lumMod val="60000"/>
                </a:schemeClr>
              </a:solidFill>
              <a:ln>
                <a:noFill/>
              </a:ln>
              <a:effectLst/>
            </c:spPr>
          </c:marker>
          <c:cat>
            <c:strRef>
              <c:f>Sheet12!$DX$20:$DX$21</c:f>
              <c:strCache>
                <c:ptCount val="1"/>
                <c:pt idx="0">
                  <c:v>15/08/24</c:v>
                </c:pt>
              </c:strCache>
            </c:strRef>
          </c:cat>
          <c:val>
            <c:numRef>
              <c:f>Sheet12!$EH$20:$EH$21</c:f>
              <c:numCache>
                <c:formatCode>General</c:formatCode>
                <c:ptCount val="1"/>
                <c:pt idx="0">
                  <c:v>-22.1</c:v>
                </c:pt>
              </c:numCache>
            </c:numRef>
          </c:val>
          <c:smooth val="0"/>
          <c:extLst>
            <c:ext xmlns:c16="http://schemas.microsoft.com/office/drawing/2014/chart" uri="{C3380CC4-5D6E-409C-BE32-E72D297353CC}">
              <c16:uniqueId val="{00000009-D3B3-194D-8A74-3890E21E3D01}"/>
            </c:ext>
          </c:extLst>
        </c:ser>
        <c:ser>
          <c:idx val="10"/>
          <c:order val="10"/>
          <c:tx>
            <c:strRef>
              <c:f>Sheet12!$EI$18:$EI$19</c:f>
              <c:strCache>
                <c:ptCount val="1"/>
                <c:pt idx="0">
                  <c:v>Germany</c:v>
                </c:pt>
              </c:strCache>
            </c:strRef>
          </c:tx>
          <c:spPr>
            <a:ln w="38100" cap="rnd">
              <a:solidFill>
                <a:schemeClr val="accent5">
                  <a:lumMod val="60000"/>
                </a:schemeClr>
              </a:solidFill>
              <a:round/>
            </a:ln>
            <a:effectLst/>
          </c:spPr>
          <c:marker>
            <c:symbol val="circle"/>
            <c:size val="8"/>
            <c:spPr>
              <a:solidFill>
                <a:schemeClr val="accent5">
                  <a:lumMod val="60000"/>
                </a:schemeClr>
              </a:solidFill>
              <a:ln>
                <a:noFill/>
              </a:ln>
              <a:effectLst/>
            </c:spPr>
          </c:marker>
          <c:cat>
            <c:strRef>
              <c:f>Sheet12!$DX$20:$DX$21</c:f>
              <c:strCache>
                <c:ptCount val="1"/>
                <c:pt idx="0">
                  <c:v>15/08/24</c:v>
                </c:pt>
              </c:strCache>
            </c:strRef>
          </c:cat>
          <c:val>
            <c:numRef>
              <c:f>Sheet12!$EI$20:$EI$21</c:f>
              <c:numCache>
                <c:formatCode>General</c:formatCode>
                <c:ptCount val="1"/>
                <c:pt idx="0">
                  <c:v>297.39999999999998</c:v>
                </c:pt>
              </c:numCache>
            </c:numRef>
          </c:val>
          <c:smooth val="0"/>
          <c:extLst>
            <c:ext xmlns:c16="http://schemas.microsoft.com/office/drawing/2014/chart" uri="{C3380CC4-5D6E-409C-BE32-E72D297353CC}">
              <c16:uniqueId val="{0000000A-D3B3-194D-8A74-3890E21E3D01}"/>
            </c:ext>
          </c:extLst>
        </c:ser>
        <c:ser>
          <c:idx val="11"/>
          <c:order val="11"/>
          <c:tx>
            <c:strRef>
              <c:f>Sheet12!$EJ$18:$EJ$19</c:f>
              <c:strCache>
                <c:ptCount val="1"/>
                <c:pt idx="0">
                  <c:v>Hong Kong</c:v>
                </c:pt>
              </c:strCache>
            </c:strRef>
          </c:tx>
          <c:spPr>
            <a:ln w="38100" cap="rnd">
              <a:solidFill>
                <a:schemeClr val="accent6">
                  <a:lumMod val="60000"/>
                </a:schemeClr>
              </a:solidFill>
              <a:round/>
            </a:ln>
            <a:effectLst/>
          </c:spPr>
          <c:marker>
            <c:symbol val="circle"/>
            <c:size val="8"/>
            <c:spPr>
              <a:solidFill>
                <a:schemeClr val="accent6">
                  <a:lumMod val="60000"/>
                </a:schemeClr>
              </a:solidFill>
              <a:ln>
                <a:noFill/>
              </a:ln>
              <a:effectLst/>
            </c:spPr>
          </c:marker>
          <c:cat>
            <c:strRef>
              <c:f>Sheet12!$DX$20:$DX$21</c:f>
              <c:strCache>
                <c:ptCount val="1"/>
                <c:pt idx="0">
                  <c:v>15/08/24</c:v>
                </c:pt>
              </c:strCache>
            </c:strRef>
          </c:cat>
          <c:val>
            <c:numRef>
              <c:f>Sheet12!$EJ$20:$EJ$21</c:f>
              <c:numCache>
                <c:formatCode>General</c:formatCode>
                <c:ptCount val="1"/>
                <c:pt idx="0">
                  <c:v>34.5</c:v>
                </c:pt>
              </c:numCache>
            </c:numRef>
          </c:val>
          <c:smooth val="0"/>
          <c:extLst>
            <c:ext xmlns:c16="http://schemas.microsoft.com/office/drawing/2014/chart" uri="{C3380CC4-5D6E-409C-BE32-E72D297353CC}">
              <c16:uniqueId val="{0000000B-D3B3-194D-8A74-3890E21E3D01}"/>
            </c:ext>
          </c:extLst>
        </c:ser>
        <c:ser>
          <c:idx val="12"/>
          <c:order val="12"/>
          <c:tx>
            <c:strRef>
              <c:f>Sheet12!$EK$18:$EK$19</c:f>
              <c:strCache>
                <c:ptCount val="1"/>
                <c:pt idx="0">
                  <c:v>India</c:v>
                </c:pt>
              </c:strCache>
            </c:strRef>
          </c:tx>
          <c:spPr>
            <a:ln w="38100" cap="rnd">
              <a:solidFill>
                <a:schemeClr val="accent1">
                  <a:lumMod val="80000"/>
                  <a:lumOff val="20000"/>
                </a:schemeClr>
              </a:solidFill>
              <a:round/>
            </a:ln>
            <a:effectLst/>
          </c:spPr>
          <c:marker>
            <c:symbol val="circle"/>
            <c:size val="8"/>
            <c:spPr>
              <a:solidFill>
                <a:schemeClr val="accent1">
                  <a:lumMod val="80000"/>
                  <a:lumOff val="20000"/>
                </a:schemeClr>
              </a:solidFill>
              <a:ln>
                <a:noFill/>
              </a:ln>
              <a:effectLst/>
            </c:spPr>
          </c:marker>
          <c:cat>
            <c:strRef>
              <c:f>Sheet12!$DX$20:$DX$21</c:f>
              <c:strCache>
                <c:ptCount val="1"/>
                <c:pt idx="0">
                  <c:v>15/08/24</c:v>
                </c:pt>
              </c:strCache>
            </c:strRef>
          </c:cat>
          <c:val>
            <c:numRef>
              <c:f>Sheet12!$EK$20:$EK$21</c:f>
              <c:numCache>
                <c:formatCode>General</c:formatCode>
                <c:ptCount val="1"/>
                <c:pt idx="0">
                  <c:v>-23.1</c:v>
                </c:pt>
              </c:numCache>
            </c:numRef>
          </c:val>
          <c:smooth val="0"/>
          <c:extLst>
            <c:ext xmlns:c16="http://schemas.microsoft.com/office/drawing/2014/chart" uri="{C3380CC4-5D6E-409C-BE32-E72D297353CC}">
              <c16:uniqueId val="{0000000C-D3B3-194D-8A74-3890E21E3D01}"/>
            </c:ext>
          </c:extLst>
        </c:ser>
        <c:ser>
          <c:idx val="13"/>
          <c:order val="13"/>
          <c:tx>
            <c:strRef>
              <c:f>Sheet12!$EL$18:$EL$19</c:f>
              <c:strCache>
                <c:ptCount val="1"/>
                <c:pt idx="0">
                  <c:v>Indonesia</c:v>
                </c:pt>
              </c:strCache>
            </c:strRef>
          </c:tx>
          <c:spPr>
            <a:ln w="38100" cap="rnd">
              <a:solidFill>
                <a:schemeClr val="accent2">
                  <a:lumMod val="80000"/>
                  <a:lumOff val="20000"/>
                </a:schemeClr>
              </a:solidFill>
              <a:round/>
            </a:ln>
            <a:effectLst/>
          </c:spPr>
          <c:marker>
            <c:symbol val="circle"/>
            <c:size val="8"/>
            <c:spPr>
              <a:solidFill>
                <a:schemeClr val="accent2">
                  <a:lumMod val="80000"/>
                  <a:lumOff val="20000"/>
                </a:schemeClr>
              </a:solidFill>
              <a:ln>
                <a:noFill/>
              </a:ln>
              <a:effectLst/>
            </c:spPr>
          </c:marker>
          <c:cat>
            <c:strRef>
              <c:f>Sheet12!$DX$20:$DX$21</c:f>
              <c:strCache>
                <c:ptCount val="1"/>
                <c:pt idx="0">
                  <c:v>15/08/24</c:v>
                </c:pt>
              </c:strCache>
            </c:strRef>
          </c:cat>
          <c:val>
            <c:numRef>
              <c:f>Sheet12!$EL$20:$EL$21</c:f>
              <c:numCache>
                <c:formatCode>General</c:formatCode>
                <c:ptCount val="1"/>
                <c:pt idx="0">
                  <c:v>-12.1</c:v>
                </c:pt>
              </c:numCache>
            </c:numRef>
          </c:val>
          <c:smooth val="0"/>
          <c:extLst>
            <c:ext xmlns:c16="http://schemas.microsoft.com/office/drawing/2014/chart" uri="{C3380CC4-5D6E-409C-BE32-E72D297353CC}">
              <c16:uniqueId val="{0000000D-D3B3-194D-8A74-3890E21E3D01}"/>
            </c:ext>
          </c:extLst>
        </c:ser>
        <c:ser>
          <c:idx val="14"/>
          <c:order val="14"/>
          <c:tx>
            <c:strRef>
              <c:f>Sheet12!$EM$18:$EM$19</c:f>
              <c:strCache>
                <c:ptCount val="1"/>
                <c:pt idx="0">
                  <c:v>Israel</c:v>
                </c:pt>
              </c:strCache>
            </c:strRef>
          </c:tx>
          <c:spPr>
            <a:ln w="38100" cap="rnd">
              <a:solidFill>
                <a:schemeClr val="accent3">
                  <a:lumMod val="80000"/>
                  <a:lumOff val="20000"/>
                </a:schemeClr>
              </a:solidFill>
              <a:round/>
            </a:ln>
            <a:effectLst/>
          </c:spPr>
          <c:marker>
            <c:symbol val="circle"/>
            <c:size val="8"/>
            <c:spPr>
              <a:solidFill>
                <a:schemeClr val="accent3">
                  <a:lumMod val="80000"/>
                  <a:lumOff val="20000"/>
                </a:schemeClr>
              </a:solidFill>
              <a:ln>
                <a:noFill/>
              </a:ln>
              <a:effectLst/>
            </c:spPr>
          </c:marker>
          <c:cat>
            <c:strRef>
              <c:f>Sheet12!$DX$20:$DX$21</c:f>
              <c:strCache>
                <c:ptCount val="1"/>
                <c:pt idx="0">
                  <c:v>15/08/24</c:v>
                </c:pt>
              </c:strCache>
            </c:strRef>
          </c:cat>
          <c:val>
            <c:numRef>
              <c:f>Sheet12!$EM$20:$EM$21</c:f>
              <c:numCache>
                <c:formatCode>General</c:formatCode>
                <c:ptCount val="1"/>
                <c:pt idx="0">
                  <c:v>23.4</c:v>
                </c:pt>
              </c:numCache>
            </c:numRef>
          </c:val>
          <c:smooth val="0"/>
          <c:extLst>
            <c:ext xmlns:c16="http://schemas.microsoft.com/office/drawing/2014/chart" uri="{C3380CC4-5D6E-409C-BE32-E72D297353CC}">
              <c16:uniqueId val="{0000000E-D3B3-194D-8A74-3890E21E3D01}"/>
            </c:ext>
          </c:extLst>
        </c:ser>
        <c:ser>
          <c:idx val="15"/>
          <c:order val="15"/>
          <c:tx>
            <c:strRef>
              <c:f>Sheet12!$EN$18:$EN$19</c:f>
              <c:strCache>
                <c:ptCount val="1"/>
                <c:pt idx="0">
                  <c:v>Italy</c:v>
                </c:pt>
              </c:strCache>
            </c:strRef>
          </c:tx>
          <c:spPr>
            <a:ln w="38100" cap="rnd">
              <a:solidFill>
                <a:schemeClr val="accent4">
                  <a:lumMod val="80000"/>
                  <a:lumOff val="20000"/>
                </a:schemeClr>
              </a:solidFill>
              <a:round/>
            </a:ln>
            <a:effectLst/>
          </c:spPr>
          <c:marker>
            <c:symbol val="circle"/>
            <c:size val="8"/>
            <c:spPr>
              <a:solidFill>
                <a:schemeClr val="accent4">
                  <a:lumMod val="80000"/>
                  <a:lumOff val="20000"/>
                </a:schemeClr>
              </a:solidFill>
              <a:ln>
                <a:noFill/>
              </a:ln>
              <a:effectLst/>
            </c:spPr>
          </c:marker>
          <c:cat>
            <c:strRef>
              <c:f>Sheet12!$DX$20:$DX$21</c:f>
              <c:strCache>
                <c:ptCount val="1"/>
                <c:pt idx="0">
                  <c:v>15/08/24</c:v>
                </c:pt>
              </c:strCache>
            </c:strRef>
          </c:cat>
          <c:val>
            <c:numRef>
              <c:f>Sheet12!$EN$20:$EN$21</c:f>
              <c:numCache>
                <c:formatCode>General</c:formatCode>
                <c:ptCount val="1"/>
                <c:pt idx="0">
                  <c:v>-56.7</c:v>
                </c:pt>
              </c:numCache>
            </c:numRef>
          </c:val>
          <c:smooth val="0"/>
          <c:extLst>
            <c:ext xmlns:c16="http://schemas.microsoft.com/office/drawing/2014/chart" uri="{C3380CC4-5D6E-409C-BE32-E72D297353CC}">
              <c16:uniqueId val="{0000000F-D3B3-194D-8A74-3890E21E3D01}"/>
            </c:ext>
          </c:extLst>
        </c:ser>
        <c:ser>
          <c:idx val="16"/>
          <c:order val="16"/>
          <c:tx>
            <c:strRef>
              <c:f>Sheet12!$EO$18:$EO$19</c:f>
              <c:strCache>
                <c:ptCount val="1"/>
                <c:pt idx="0">
                  <c:v>Japan</c:v>
                </c:pt>
              </c:strCache>
            </c:strRef>
          </c:tx>
          <c:spPr>
            <a:ln w="38100" cap="rnd">
              <a:solidFill>
                <a:schemeClr val="accent5">
                  <a:lumMod val="80000"/>
                  <a:lumOff val="20000"/>
                </a:schemeClr>
              </a:solidFill>
              <a:round/>
            </a:ln>
            <a:effectLst/>
          </c:spPr>
          <c:marker>
            <c:symbol val="circle"/>
            <c:size val="8"/>
            <c:spPr>
              <a:solidFill>
                <a:schemeClr val="accent5">
                  <a:lumMod val="80000"/>
                  <a:lumOff val="20000"/>
                </a:schemeClr>
              </a:solidFill>
              <a:ln>
                <a:noFill/>
              </a:ln>
              <a:effectLst/>
            </c:spPr>
          </c:marker>
          <c:cat>
            <c:strRef>
              <c:f>Sheet12!$DX$20:$DX$21</c:f>
              <c:strCache>
                <c:ptCount val="1"/>
                <c:pt idx="0">
                  <c:v>15/08/24</c:v>
                </c:pt>
              </c:strCache>
            </c:strRef>
          </c:cat>
          <c:val>
            <c:numRef>
              <c:f>Sheet12!$EO$20:$EO$21</c:f>
              <c:numCache>
                <c:formatCode>General</c:formatCode>
                <c:ptCount val="1"/>
                <c:pt idx="0">
                  <c:v>49.7</c:v>
                </c:pt>
              </c:numCache>
            </c:numRef>
          </c:val>
          <c:smooth val="0"/>
          <c:extLst>
            <c:ext xmlns:c16="http://schemas.microsoft.com/office/drawing/2014/chart" uri="{C3380CC4-5D6E-409C-BE32-E72D297353CC}">
              <c16:uniqueId val="{00000010-D3B3-194D-8A74-3890E21E3D01}"/>
            </c:ext>
          </c:extLst>
        </c:ser>
        <c:ser>
          <c:idx val="17"/>
          <c:order val="17"/>
          <c:tx>
            <c:strRef>
              <c:f>Sheet12!$EP$18:$EP$19</c:f>
              <c:strCache>
                <c:ptCount val="1"/>
                <c:pt idx="0">
                  <c:v>Malaysia</c:v>
                </c:pt>
              </c:strCache>
            </c:strRef>
          </c:tx>
          <c:spPr>
            <a:ln w="38100" cap="rnd">
              <a:solidFill>
                <a:schemeClr val="accent6">
                  <a:lumMod val="80000"/>
                  <a:lumOff val="20000"/>
                </a:schemeClr>
              </a:solidFill>
              <a:round/>
            </a:ln>
            <a:effectLst/>
          </c:spPr>
          <c:marker>
            <c:symbol val="circle"/>
            <c:size val="8"/>
            <c:spPr>
              <a:solidFill>
                <a:schemeClr val="accent6">
                  <a:lumMod val="80000"/>
                  <a:lumOff val="20000"/>
                </a:schemeClr>
              </a:solidFill>
              <a:ln>
                <a:noFill/>
              </a:ln>
              <a:effectLst/>
            </c:spPr>
          </c:marker>
          <c:cat>
            <c:strRef>
              <c:f>Sheet12!$DX$20:$DX$21</c:f>
              <c:strCache>
                <c:ptCount val="1"/>
                <c:pt idx="0">
                  <c:v>15/08/24</c:v>
                </c:pt>
              </c:strCache>
            </c:strRef>
          </c:cat>
          <c:val>
            <c:numRef>
              <c:f>Sheet12!$EP$20:$EP$21</c:f>
              <c:numCache>
                <c:formatCode>General</c:formatCode>
                <c:ptCount val="1"/>
                <c:pt idx="0">
                  <c:v>23.4</c:v>
                </c:pt>
              </c:numCache>
            </c:numRef>
          </c:val>
          <c:smooth val="0"/>
          <c:extLst>
            <c:ext xmlns:c16="http://schemas.microsoft.com/office/drawing/2014/chart" uri="{C3380CC4-5D6E-409C-BE32-E72D297353CC}">
              <c16:uniqueId val="{00000011-D3B3-194D-8A74-3890E21E3D01}"/>
            </c:ext>
          </c:extLst>
        </c:ser>
        <c:ser>
          <c:idx val="18"/>
          <c:order val="18"/>
          <c:tx>
            <c:strRef>
              <c:f>Sheet12!$EQ$18:$EQ$19</c:f>
              <c:strCache>
                <c:ptCount val="1"/>
                <c:pt idx="0">
                  <c:v>Mexico</c:v>
                </c:pt>
              </c:strCache>
            </c:strRef>
          </c:tx>
          <c:spPr>
            <a:ln w="38100" cap="rnd">
              <a:solidFill>
                <a:schemeClr val="accent1">
                  <a:lumMod val="80000"/>
                </a:schemeClr>
              </a:solidFill>
              <a:round/>
            </a:ln>
            <a:effectLst/>
          </c:spPr>
          <c:marker>
            <c:symbol val="circle"/>
            <c:size val="8"/>
            <c:spPr>
              <a:solidFill>
                <a:schemeClr val="accent1">
                  <a:lumMod val="80000"/>
                </a:schemeClr>
              </a:solidFill>
              <a:ln>
                <a:noFill/>
              </a:ln>
              <a:effectLst/>
            </c:spPr>
          </c:marker>
          <c:cat>
            <c:strRef>
              <c:f>Sheet12!$DX$20:$DX$21</c:f>
              <c:strCache>
                <c:ptCount val="1"/>
                <c:pt idx="0">
                  <c:v>15/08/24</c:v>
                </c:pt>
              </c:strCache>
            </c:strRef>
          </c:cat>
          <c:val>
            <c:numRef>
              <c:f>Sheet12!$EQ$20:$EQ$21</c:f>
              <c:numCache>
                <c:formatCode>General</c:formatCode>
                <c:ptCount val="1"/>
                <c:pt idx="0">
                  <c:v>-12.4</c:v>
                </c:pt>
              </c:numCache>
            </c:numRef>
          </c:val>
          <c:smooth val="0"/>
          <c:extLst>
            <c:ext xmlns:c16="http://schemas.microsoft.com/office/drawing/2014/chart" uri="{C3380CC4-5D6E-409C-BE32-E72D297353CC}">
              <c16:uniqueId val="{00000012-D3B3-194D-8A74-3890E21E3D01}"/>
            </c:ext>
          </c:extLst>
        </c:ser>
        <c:ser>
          <c:idx val="19"/>
          <c:order val="19"/>
          <c:tx>
            <c:strRef>
              <c:f>Sheet12!$ER$18:$ER$19</c:f>
              <c:strCache>
                <c:ptCount val="1"/>
                <c:pt idx="0">
                  <c:v>Netherlands</c:v>
                </c:pt>
              </c:strCache>
            </c:strRef>
          </c:tx>
          <c:spPr>
            <a:ln w="38100" cap="rnd">
              <a:solidFill>
                <a:schemeClr val="accent2">
                  <a:lumMod val="80000"/>
                </a:schemeClr>
              </a:solidFill>
              <a:round/>
            </a:ln>
            <a:effectLst/>
          </c:spPr>
          <c:marker>
            <c:symbol val="circle"/>
            <c:size val="8"/>
            <c:spPr>
              <a:solidFill>
                <a:schemeClr val="accent2">
                  <a:lumMod val="80000"/>
                </a:schemeClr>
              </a:solidFill>
              <a:ln>
                <a:noFill/>
              </a:ln>
              <a:effectLst/>
            </c:spPr>
          </c:marker>
          <c:cat>
            <c:strRef>
              <c:f>Sheet12!$DX$20:$DX$21</c:f>
              <c:strCache>
                <c:ptCount val="1"/>
                <c:pt idx="0">
                  <c:v>15/08/24</c:v>
                </c:pt>
              </c:strCache>
            </c:strRef>
          </c:cat>
          <c:val>
            <c:numRef>
              <c:f>Sheet12!$ER$20:$ER$21</c:f>
              <c:numCache>
                <c:formatCode>General</c:formatCode>
                <c:ptCount val="1"/>
                <c:pt idx="0">
                  <c:v>89.7</c:v>
                </c:pt>
              </c:numCache>
            </c:numRef>
          </c:val>
          <c:smooth val="0"/>
          <c:extLst>
            <c:ext xmlns:c16="http://schemas.microsoft.com/office/drawing/2014/chart" uri="{C3380CC4-5D6E-409C-BE32-E72D297353CC}">
              <c16:uniqueId val="{00000013-D3B3-194D-8A74-3890E21E3D01}"/>
            </c:ext>
          </c:extLst>
        </c:ser>
        <c:ser>
          <c:idx val="20"/>
          <c:order val="20"/>
          <c:tx>
            <c:strRef>
              <c:f>Sheet12!$ES$18:$ES$19</c:f>
              <c:strCache>
                <c:ptCount val="1"/>
                <c:pt idx="0">
                  <c:v>Nigeria</c:v>
                </c:pt>
              </c:strCache>
            </c:strRef>
          </c:tx>
          <c:spPr>
            <a:ln w="38100" cap="rnd">
              <a:solidFill>
                <a:schemeClr val="accent3">
                  <a:lumMod val="80000"/>
                </a:schemeClr>
              </a:solidFill>
              <a:round/>
            </a:ln>
            <a:effectLst/>
          </c:spPr>
          <c:marker>
            <c:symbol val="circle"/>
            <c:size val="8"/>
            <c:spPr>
              <a:solidFill>
                <a:schemeClr val="accent3">
                  <a:lumMod val="80000"/>
                </a:schemeClr>
              </a:solidFill>
              <a:ln>
                <a:noFill/>
              </a:ln>
              <a:effectLst/>
            </c:spPr>
          </c:marker>
          <c:cat>
            <c:strRef>
              <c:f>Sheet12!$DX$20:$DX$21</c:f>
              <c:strCache>
                <c:ptCount val="1"/>
                <c:pt idx="0">
                  <c:v>15/08/24</c:v>
                </c:pt>
              </c:strCache>
            </c:strRef>
          </c:cat>
          <c:val>
            <c:numRef>
              <c:f>Sheet12!$ES$20:$ES$21</c:f>
              <c:numCache>
                <c:formatCode>General</c:formatCode>
                <c:ptCount val="1"/>
                <c:pt idx="0">
                  <c:v>34.5</c:v>
                </c:pt>
              </c:numCache>
            </c:numRef>
          </c:val>
          <c:smooth val="0"/>
          <c:extLst>
            <c:ext xmlns:c16="http://schemas.microsoft.com/office/drawing/2014/chart" uri="{C3380CC4-5D6E-409C-BE32-E72D297353CC}">
              <c16:uniqueId val="{00000014-D3B3-194D-8A74-3890E21E3D01}"/>
            </c:ext>
          </c:extLst>
        </c:ser>
        <c:ser>
          <c:idx val="21"/>
          <c:order val="21"/>
          <c:tx>
            <c:strRef>
              <c:f>Sheet12!$ET$18:$ET$19</c:f>
              <c:strCache>
                <c:ptCount val="1"/>
                <c:pt idx="0">
                  <c:v>Norway</c:v>
                </c:pt>
              </c:strCache>
            </c:strRef>
          </c:tx>
          <c:spPr>
            <a:ln w="38100" cap="rnd">
              <a:solidFill>
                <a:schemeClr val="accent4">
                  <a:lumMod val="80000"/>
                </a:schemeClr>
              </a:solidFill>
              <a:round/>
            </a:ln>
            <a:effectLst/>
          </c:spPr>
          <c:marker>
            <c:symbol val="circle"/>
            <c:size val="8"/>
            <c:spPr>
              <a:solidFill>
                <a:schemeClr val="accent4">
                  <a:lumMod val="80000"/>
                </a:schemeClr>
              </a:solidFill>
              <a:ln>
                <a:noFill/>
              </a:ln>
              <a:effectLst/>
            </c:spPr>
          </c:marker>
          <c:cat>
            <c:strRef>
              <c:f>Sheet12!$DX$20:$DX$21</c:f>
              <c:strCache>
                <c:ptCount val="1"/>
                <c:pt idx="0">
                  <c:v>15/08/24</c:v>
                </c:pt>
              </c:strCache>
            </c:strRef>
          </c:cat>
          <c:val>
            <c:numRef>
              <c:f>Sheet12!$ET$20:$ET$21</c:f>
              <c:numCache>
                <c:formatCode>General</c:formatCode>
                <c:ptCount val="1"/>
                <c:pt idx="0">
                  <c:v>78.900000000000006</c:v>
                </c:pt>
              </c:numCache>
            </c:numRef>
          </c:val>
          <c:smooth val="0"/>
          <c:extLst>
            <c:ext xmlns:c16="http://schemas.microsoft.com/office/drawing/2014/chart" uri="{C3380CC4-5D6E-409C-BE32-E72D297353CC}">
              <c16:uniqueId val="{00000015-D3B3-194D-8A74-3890E21E3D01}"/>
            </c:ext>
          </c:extLst>
        </c:ser>
        <c:ser>
          <c:idx val="22"/>
          <c:order val="22"/>
          <c:tx>
            <c:strRef>
              <c:f>Sheet12!$EU$18:$EU$19</c:f>
              <c:strCache>
                <c:ptCount val="1"/>
                <c:pt idx="0">
                  <c:v>Peru</c:v>
                </c:pt>
              </c:strCache>
            </c:strRef>
          </c:tx>
          <c:spPr>
            <a:ln w="38100" cap="rnd">
              <a:solidFill>
                <a:schemeClr val="accent5">
                  <a:lumMod val="80000"/>
                </a:schemeClr>
              </a:solidFill>
              <a:round/>
            </a:ln>
            <a:effectLst/>
          </c:spPr>
          <c:marker>
            <c:symbol val="circle"/>
            <c:size val="8"/>
            <c:spPr>
              <a:solidFill>
                <a:schemeClr val="accent5">
                  <a:lumMod val="80000"/>
                </a:schemeClr>
              </a:solidFill>
              <a:ln>
                <a:noFill/>
              </a:ln>
              <a:effectLst/>
            </c:spPr>
          </c:marker>
          <c:cat>
            <c:strRef>
              <c:f>Sheet12!$DX$20:$DX$21</c:f>
              <c:strCache>
                <c:ptCount val="1"/>
                <c:pt idx="0">
                  <c:v>15/08/24</c:v>
                </c:pt>
              </c:strCache>
            </c:strRef>
          </c:cat>
          <c:val>
            <c:numRef>
              <c:f>Sheet12!$EU$20:$EU$21</c:f>
              <c:numCache>
                <c:formatCode>General</c:formatCode>
                <c:ptCount val="1"/>
                <c:pt idx="0">
                  <c:v>8.9</c:v>
                </c:pt>
              </c:numCache>
            </c:numRef>
          </c:val>
          <c:smooth val="0"/>
          <c:extLst>
            <c:ext xmlns:c16="http://schemas.microsoft.com/office/drawing/2014/chart" uri="{C3380CC4-5D6E-409C-BE32-E72D297353CC}">
              <c16:uniqueId val="{00000016-D3B3-194D-8A74-3890E21E3D01}"/>
            </c:ext>
          </c:extLst>
        </c:ser>
        <c:ser>
          <c:idx val="23"/>
          <c:order val="23"/>
          <c:tx>
            <c:strRef>
              <c:f>Sheet12!$EV$18:$EV$19</c:f>
              <c:strCache>
                <c:ptCount val="1"/>
                <c:pt idx="0">
                  <c:v>Philippines</c:v>
                </c:pt>
              </c:strCache>
            </c:strRef>
          </c:tx>
          <c:spPr>
            <a:ln w="38100" cap="rnd">
              <a:solidFill>
                <a:schemeClr val="accent6">
                  <a:lumMod val="80000"/>
                </a:schemeClr>
              </a:solidFill>
              <a:round/>
            </a:ln>
            <a:effectLst/>
          </c:spPr>
          <c:marker>
            <c:symbol val="circle"/>
            <c:size val="8"/>
            <c:spPr>
              <a:solidFill>
                <a:schemeClr val="accent6">
                  <a:lumMod val="80000"/>
                </a:schemeClr>
              </a:solidFill>
              <a:ln>
                <a:noFill/>
              </a:ln>
              <a:effectLst/>
            </c:spPr>
          </c:marker>
          <c:cat>
            <c:strRef>
              <c:f>Sheet12!$DX$20:$DX$21</c:f>
              <c:strCache>
                <c:ptCount val="1"/>
                <c:pt idx="0">
                  <c:v>15/08/24</c:v>
                </c:pt>
              </c:strCache>
            </c:strRef>
          </c:cat>
          <c:val>
            <c:numRef>
              <c:f>Sheet12!$EV$20:$EV$21</c:f>
              <c:numCache>
                <c:formatCode>General</c:formatCode>
                <c:ptCount val="1"/>
                <c:pt idx="0">
                  <c:v>-8.9</c:v>
                </c:pt>
              </c:numCache>
            </c:numRef>
          </c:val>
          <c:smooth val="0"/>
          <c:extLst>
            <c:ext xmlns:c16="http://schemas.microsoft.com/office/drawing/2014/chart" uri="{C3380CC4-5D6E-409C-BE32-E72D297353CC}">
              <c16:uniqueId val="{00000017-D3B3-194D-8A74-3890E21E3D01}"/>
            </c:ext>
          </c:extLst>
        </c:ser>
        <c:ser>
          <c:idx val="24"/>
          <c:order val="24"/>
          <c:tx>
            <c:strRef>
              <c:f>Sheet12!$EW$18:$EW$19</c:f>
              <c:strCache>
                <c:ptCount val="1"/>
                <c:pt idx="0">
                  <c:v>Russia</c:v>
                </c:pt>
              </c:strCache>
            </c:strRef>
          </c:tx>
          <c:spPr>
            <a:ln w="38100" cap="rnd">
              <a:solidFill>
                <a:schemeClr val="accent1">
                  <a:lumMod val="60000"/>
                  <a:lumOff val="40000"/>
                </a:schemeClr>
              </a:solidFill>
              <a:round/>
            </a:ln>
            <a:effectLst/>
          </c:spPr>
          <c:marker>
            <c:symbol val="circle"/>
            <c:size val="8"/>
            <c:spPr>
              <a:solidFill>
                <a:schemeClr val="accent1">
                  <a:lumMod val="60000"/>
                  <a:lumOff val="40000"/>
                </a:schemeClr>
              </a:solidFill>
              <a:ln>
                <a:noFill/>
              </a:ln>
              <a:effectLst/>
            </c:spPr>
          </c:marker>
          <c:cat>
            <c:strRef>
              <c:f>Sheet12!$DX$20:$DX$21</c:f>
              <c:strCache>
                <c:ptCount val="1"/>
                <c:pt idx="0">
                  <c:v>15/08/24</c:v>
                </c:pt>
              </c:strCache>
            </c:strRef>
          </c:cat>
          <c:val>
            <c:numRef>
              <c:f>Sheet12!$EW$20:$EW$21</c:f>
              <c:numCache>
                <c:formatCode>General</c:formatCode>
                <c:ptCount val="1"/>
                <c:pt idx="0">
                  <c:v>67.8</c:v>
                </c:pt>
              </c:numCache>
            </c:numRef>
          </c:val>
          <c:smooth val="0"/>
          <c:extLst>
            <c:ext xmlns:c16="http://schemas.microsoft.com/office/drawing/2014/chart" uri="{C3380CC4-5D6E-409C-BE32-E72D297353CC}">
              <c16:uniqueId val="{00000018-D3B3-194D-8A74-3890E21E3D01}"/>
            </c:ext>
          </c:extLst>
        </c:ser>
        <c:ser>
          <c:idx val="25"/>
          <c:order val="25"/>
          <c:tx>
            <c:strRef>
              <c:f>Sheet12!$EX$18:$EX$19</c:f>
              <c:strCache>
                <c:ptCount val="1"/>
                <c:pt idx="0">
                  <c:v>Saudi Arabia</c:v>
                </c:pt>
              </c:strCache>
            </c:strRef>
          </c:tx>
          <c:spPr>
            <a:ln w="38100" cap="rnd">
              <a:solidFill>
                <a:schemeClr val="accent2">
                  <a:lumMod val="60000"/>
                  <a:lumOff val="40000"/>
                </a:schemeClr>
              </a:solidFill>
              <a:round/>
            </a:ln>
            <a:effectLst/>
          </c:spPr>
          <c:marker>
            <c:symbol val="circle"/>
            <c:size val="8"/>
            <c:spPr>
              <a:solidFill>
                <a:schemeClr val="accent2">
                  <a:lumMod val="60000"/>
                  <a:lumOff val="40000"/>
                </a:schemeClr>
              </a:solidFill>
              <a:ln>
                <a:noFill/>
              </a:ln>
              <a:effectLst/>
            </c:spPr>
          </c:marker>
          <c:cat>
            <c:strRef>
              <c:f>Sheet12!$DX$20:$DX$21</c:f>
              <c:strCache>
                <c:ptCount val="1"/>
                <c:pt idx="0">
                  <c:v>15/08/24</c:v>
                </c:pt>
              </c:strCache>
            </c:strRef>
          </c:cat>
          <c:val>
            <c:numRef>
              <c:f>Sheet12!$EX$20:$EX$21</c:f>
              <c:numCache>
                <c:formatCode>General</c:formatCode>
                <c:ptCount val="1"/>
                <c:pt idx="0">
                  <c:v>34.5</c:v>
                </c:pt>
              </c:numCache>
            </c:numRef>
          </c:val>
          <c:smooth val="0"/>
          <c:extLst>
            <c:ext xmlns:c16="http://schemas.microsoft.com/office/drawing/2014/chart" uri="{C3380CC4-5D6E-409C-BE32-E72D297353CC}">
              <c16:uniqueId val="{00000019-D3B3-194D-8A74-3890E21E3D01}"/>
            </c:ext>
          </c:extLst>
        </c:ser>
        <c:ser>
          <c:idx val="26"/>
          <c:order val="26"/>
          <c:tx>
            <c:strRef>
              <c:f>Sheet12!$EY$18:$EY$19</c:f>
              <c:strCache>
                <c:ptCount val="1"/>
                <c:pt idx="0">
                  <c:v>Singapore</c:v>
                </c:pt>
              </c:strCache>
            </c:strRef>
          </c:tx>
          <c:spPr>
            <a:ln w="38100" cap="rnd">
              <a:solidFill>
                <a:schemeClr val="accent3">
                  <a:lumMod val="60000"/>
                  <a:lumOff val="40000"/>
                </a:schemeClr>
              </a:solidFill>
              <a:round/>
            </a:ln>
            <a:effectLst/>
          </c:spPr>
          <c:marker>
            <c:symbol val="circle"/>
            <c:size val="8"/>
            <c:spPr>
              <a:solidFill>
                <a:schemeClr val="accent3">
                  <a:lumMod val="60000"/>
                  <a:lumOff val="40000"/>
                </a:schemeClr>
              </a:solidFill>
              <a:ln>
                <a:noFill/>
              </a:ln>
              <a:effectLst/>
            </c:spPr>
          </c:marker>
          <c:cat>
            <c:strRef>
              <c:f>Sheet12!$DX$20:$DX$21</c:f>
              <c:strCache>
                <c:ptCount val="1"/>
                <c:pt idx="0">
                  <c:v>15/08/24</c:v>
                </c:pt>
              </c:strCache>
            </c:strRef>
          </c:cat>
          <c:val>
            <c:numRef>
              <c:f>Sheet12!$EY$20:$EY$21</c:f>
              <c:numCache>
                <c:formatCode>General</c:formatCode>
                <c:ptCount val="1"/>
                <c:pt idx="0">
                  <c:v>67.8</c:v>
                </c:pt>
              </c:numCache>
            </c:numRef>
          </c:val>
          <c:smooth val="0"/>
          <c:extLst>
            <c:ext xmlns:c16="http://schemas.microsoft.com/office/drawing/2014/chart" uri="{C3380CC4-5D6E-409C-BE32-E72D297353CC}">
              <c16:uniqueId val="{0000001A-D3B3-194D-8A74-3890E21E3D01}"/>
            </c:ext>
          </c:extLst>
        </c:ser>
        <c:ser>
          <c:idx val="27"/>
          <c:order val="27"/>
          <c:tx>
            <c:strRef>
              <c:f>Sheet12!$EZ$18:$EZ$19</c:f>
              <c:strCache>
                <c:ptCount val="1"/>
                <c:pt idx="0">
                  <c:v>South Africa</c:v>
                </c:pt>
              </c:strCache>
            </c:strRef>
          </c:tx>
          <c:spPr>
            <a:ln w="38100" cap="rnd">
              <a:solidFill>
                <a:schemeClr val="accent4">
                  <a:lumMod val="60000"/>
                  <a:lumOff val="40000"/>
                </a:schemeClr>
              </a:solidFill>
              <a:round/>
            </a:ln>
            <a:effectLst/>
          </c:spPr>
          <c:marker>
            <c:symbol val="circle"/>
            <c:size val="8"/>
            <c:spPr>
              <a:solidFill>
                <a:schemeClr val="accent4">
                  <a:lumMod val="60000"/>
                  <a:lumOff val="40000"/>
                </a:schemeClr>
              </a:solidFill>
              <a:ln>
                <a:noFill/>
              </a:ln>
              <a:effectLst/>
            </c:spPr>
          </c:marker>
          <c:cat>
            <c:strRef>
              <c:f>Sheet12!$DX$20:$DX$21</c:f>
              <c:strCache>
                <c:ptCount val="1"/>
                <c:pt idx="0">
                  <c:v>15/08/24</c:v>
                </c:pt>
              </c:strCache>
            </c:strRef>
          </c:cat>
          <c:val>
            <c:numRef>
              <c:f>Sheet12!$EZ$20:$EZ$21</c:f>
              <c:numCache>
                <c:formatCode>General</c:formatCode>
                <c:ptCount val="1"/>
                <c:pt idx="0">
                  <c:v>8.9</c:v>
                </c:pt>
              </c:numCache>
            </c:numRef>
          </c:val>
          <c:smooth val="0"/>
          <c:extLst>
            <c:ext xmlns:c16="http://schemas.microsoft.com/office/drawing/2014/chart" uri="{C3380CC4-5D6E-409C-BE32-E72D297353CC}">
              <c16:uniqueId val="{0000001B-D3B3-194D-8A74-3890E21E3D01}"/>
            </c:ext>
          </c:extLst>
        </c:ser>
        <c:ser>
          <c:idx val="28"/>
          <c:order val="28"/>
          <c:tx>
            <c:strRef>
              <c:f>Sheet12!$FA$18:$FA$19</c:f>
              <c:strCache>
                <c:ptCount val="1"/>
                <c:pt idx="0">
                  <c:v>South Korea</c:v>
                </c:pt>
              </c:strCache>
            </c:strRef>
          </c:tx>
          <c:spPr>
            <a:ln w="38100" cap="rnd">
              <a:solidFill>
                <a:schemeClr val="accent5">
                  <a:lumMod val="60000"/>
                  <a:lumOff val="40000"/>
                </a:schemeClr>
              </a:solidFill>
              <a:round/>
            </a:ln>
            <a:effectLst/>
          </c:spPr>
          <c:marker>
            <c:symbol val="circle"/>
            <c:size val="8"/>
            <c:spPr>
              <a:solidFill>
                <a:schemeClr val="accent5">
                  <a:lumMod val="60000"/>
                  <a:lumOff val="40000"/>
                </a:schemeClr>
              </a:solidFill>
              <a:ln>
                <a:noFill/>
              </a:ln>
              <a:effectLst/>
            </c:spPr>
          </c:marker>
          <c:cat>
            <c:strRef>
              <c:f>Sheet12!$DX$20:$DX$21</c:f>
              <c:strCache>
                <c:ptCount val="1"/>
                <c:pt idx="0">
                  <c:v>15/08/24</c:v>
                </c:pt>
              </c:strCache>
            </c:strRef>
          </c:cat>
          <c:val>
            <c:numRef>
              <c:f>Sheet12!$FA$20:$FA$21</c:f>
              <c:numCache>
                <c:formatCode>General</c:formatCode>
                <c:ptCount val="1"/>
                <c:pt idx="0">
                  <c:v>67.400000000000006</c:v>
                </c:pt>
              </c:numCache>
            </c:numRef>
          </c:val>
          <c:smooth val="0"/>
          <c:extLst>
            <c:ext xmlns:c16="http://schemas.microsoft.com/office/drawing/2014/chart" uri="{C3380CC4-5D6E-409C-BE32-E72D297353CC}">
              <c16:uniqueId val="{0000001C-D3B3-194D-8A74-3890E21E3D01}"/>
            </c:ext>
          </c:extLst>
        </c:ser>
        <c:ser>
          <c:idx val="29"/>
          <c:order val="29"/>
          <c:tx>
            <c:strRef>
              <c:f>Sheet12!$FB$18:$FB$19</c:f>
              <c:strCache>
                <c:ptCount val="1"/>
                <c:pt idx="0">
                  <c:v>Spain</c:v>
                </c:pt>
              </c:strCache>
            </c:strRef>
          </c:tx>
          <c:spPr>
            <a:ln w="38100" cap="rnd">
              <a:solidFill>
                <a:schemeClr val="accent6">
                  <a:lumMod val="60000"/>
                  <a:lumOff val="40000"/>
                </a:schemeClr>
              </a:solidFill>
              <a:round/>
            </a:ln>
            <a:effectLst/>
          </c:spPr>
          <c:marker>
            <c:symbol val="circle"/>
            <c:size val="8"/>
            <c:spPr>
              <a:solidFill>
                <a:schemeClr val="accent6">
                  <a:lumMod val="60000"/>
                  <a:lumOff val="40000"/>
                </a:schemeClr>
              </a:solidFill>
              <a:ln>
                <a:noFill/>
              </a:ln>
              <a:effectLst/>
            </c:spPr>
          </c:marker>
          <c:cat>
            <c:strRef>
              <c:f>Sheet12!$DX$20:$DX$21</c:f>
              <c:strCache>
                <c:ptCount val="1"/>
                <c:pt idx="0">
                  <c:v>15/08/24</c:v>
                </c:pt>
              </c:strCache>
            </c:strRef>
          </c:cat>
          <c:val>
            <c:numRef>
              <c:f>Sheet12!$FB$20:$FB$21</c:f>
              <c:numCache>
                <c:formatCode>General</c:formatCode>
                <c:ptCount val="1"/>
                <c:pt idx="0">
                  <c:v>23.4</c:v>
                </c:pt>
              </c:numCache>
            </c:numRef>
          </c:val>
          <c:smooth val="0"/>
          <c:extLst>
            <c:ext xmlns:c16="http://schemas.microsoft.com/office/drawing/2014/chart" uri="{C3380CC4-5D6E-409C-BE32-E72D297353CC}">
              <c16:uniqueId val="{0000001D-D3B3-194D-8A74-3890E21E3D01}"/>
            </c:ext>
          </c:extLst>
        </c:ser>
        <c:ser>
          <c:idx val="30"/>
          <c:order val="30"/>
          <c:tx>
            <c:strRef>
              <c:f>Sheet12!$FC$18:$FC$19</c:f>
              <c:strCache>
                <c:ptCount val="1"/>
                <c:pt idx="0">
                  <c:v>Sweden</c:v>
                </c:pt>
              </c:strCache>
            </c:strRef>
          </c:tx>
          <c:spPr>
            <a:ln w="38100" cap="rnd">
              <a:solidFill>
                <a:schemeClr val="accent1">
                  <a:lumMod val="50000"/>
                </a:schemeClr>
              </a:solidFill>
              <a:round/>
            </a:ln>
            <a:effectLst/>
          </c:spPr>
          <c:marker>
            <c:symbol val="circle"/>
            <c:size val="8"/>
            <c:spPr>
              <a:solidFill>
                <a:schemeClr val="accent1">
                  <a:lumMod val="50000"/>
                </a:schemeClr>
              </a:solidFill>
              <a:ln>
                <a:noFill/>
              </a:ln>
              <a:effectLst/>
            </c:spPr>
          </c:marker>
          <c:cat>
            <c:strRef>
              <c:f>Sheet12!$DX$20:$DX$21</c:f>
              <c:strCache>
                <c:ptCount val="1"/>
                <c:pt idx="0">
                  <c:v>15/08/24</c:v>
                </c:pt>
              </c:strCache>
            </c:strRef>
          </c:cat>
          <c:val>
            <c:numRef>
              <c:f>Sheet12!$FC$20:$FC$21</c:f>
              <c:numCache>
                <c:formatCode>General</c:formatCode>
                <c:ptCount val="1"/>
                <c:pt idx="0">
                  <c:v>34.5</c:v>
                </c:pt>
              </c:numCache>
            </c:numRef>
          </c:val>
          <c:smooth val="0"/>
          <c:extLst>
            <c:ext xmlns:c16="http://schemas.microsoft.com/office/drawing/2014/chart" uri="{C3380CC4-5D6E-409C-BE32-E72D297353CC}">
              <c16:uniqueId val="{0000001E-D3B3-194D-8A74-3890E21E3D01}"/>
            </c:ext>
          </c:extLst>
        </c:ser>
        <c:ser>
          <c:idx val="31"/>
          <c:order val="31"/>
          <c:tx>
            <c:strRef>
              <c:f>Sheet12!$FD$18:$FD$19</c:f>
              <c:strCache>
                <c:ptCount val="1"/>
                <c:pt idx="0">
                  <c:v>Switzerland</c:v>
                </c:pt>
              </c:strCache>
            </c:strRef>
          </c:tx>
          <c:spPr>
            <a:ln w="38100" cap="rnd">
              <a:solidFill>
                <a:schemeClr val="accent2">
                  <a:lumMod val="50000"/>
                </a:schemeClr>
              </a:solidFill>
              <a:round/>
            </a:ln>
            <a:effectLst/>
          </c:spPr>
          <c:marker>
            <c:symbol val="circle"/>
            <c:size val="8"/>
            <c:spPr>
              <a:solidFill>
                <a:schemeClr val="accent2">
                  <a:lumMod val="50000"/>
                </a:schemeClr>
              </a:solidFill>
              <a:ln>
                <a:noFill/>
              </a:ln>
              <a:effectLst/>
            </c:spPr>
          </c:marker>
          <c:cat>
            <c:strRef>
              <c:f>Sheet12!$DX$20:$DX$21</c:f>
              <c:strCache>
                <c:ptCount val="1"/>
                <c:pt idx="0">
                  <c:v>15/08/24</c:v>
                </c:pt>
              </c:strCache>
            </c:strRef>
          </c:cat>
          <c:val>
            <c:numRef>
              <c:f>Sheet12!$FD$20:$FD$21</c:f>
              <c:numCache>
                <c:formatCode>General</c:formatCode>
                <c:ptCount val="1"/>
                <c:pt idx="0">
                  <c:v>67.8</c:v>
                </c:pt>
              </c:numCache>
            </c:numRef>
          </c:val>
          <c:smooth val="0"/>
          <c:extLst>
            <c:ext xmlns:c16="http://schemas.microsoft.com/office/drawing/2014/chart" uri="{C3380CC4-5D6E-409C-BE32-E72D297353CC}">
              <c16:uniqueId val="{0000001F-D3B3-194D-8A74-3890E21E3D01}"/>
            </c:ext>
          </c:extLst>
        </c:ser>
        <c:ser>
          <c:idx val="32"/>
          <c:order val="32"/>
          <c:tx>
            <c:strRef>
              <c:f>Sheet12!$FE$18:$FE$19</c:f>
              <c:strCache>
                <c:ptCount val="1"/>
                <c:pt idx="0">
                  <c:v>Taiwan</c:v>
                </c:pt>
              </c:strCache>
            </c:strRef>
          </c:tx>
          <c:spPr>
            <a:ln w="38100" cap="rnd">
              <a:solidFill>
                <a:schemeClr val="accent3">
                  <a:lumMod val="50000"/>
                </a:schemeClr>
              </a:solidFill>
              <a:round/>
            </a:ln>
            <a:effectLst/>
          </c:spPr>
          <c:marker>
            <c:symbol val="circle"/>
            <c:size val="8"/>
            <c:spPr>
              <a:solidFill>
                <a:schemeClr val="accent3">
                  <a:lumMod val="50000"/>
                </a:schemeClr>
              </a:solidFill>
              <a:ln>
                <a:noFill/>
              </a:ln>
              <a:effectLst/>
            </c:spPr>
          </c:marker>
          <c:cat>
            <c:strRef>
              <c:f>Sheet12!$DX$20:$DX$21</c:f>
              <c:strCache>
                <c:ptCount val="1"/>
                <c:pt idx="0">
                  <c:v>15/08/24</c:v>
                </c:pt>
              </c:strCache>
            </c:strRef>
          </c:cat>
          <c:val>
            <c:numRef>
              <c:f>Sheet12!$FE$20:$FE$21</c:f>
              <c:numCache>
                <c:formatCode>General</c:formatCode>
                <c:ptCount val="1"/>
                <c:pt idx="0">
                  <c:v>89.7</c:v>
                </c:pt>
              </c:numCache>
            </c:numRef>
          </c:val>
          <c:smooth val="0"/>
          <c:extLst>
            <c:ext xmlns:c16="http://schemas.microsoft.com/office/drawing/2014/chart" uri="{C3380CC4-5D6E-409C-BE32-E72D297353CC}">
              <c16:uniqueId val="{00000020-D3B3-194D-8A74-3890E21E3D01}"/>
            </c:ext>
          </c:extLst>
        </c:ser>
        <c:ser>
          <c:idx val="33"/>
          <c:order val="33"/>
          <c:tx>
            <c:strRef>
              <c:f>Sheet12!$FF$18:$FF$19</c:f>
              <c:strCache>
                <c:ptCount val="1"/>
                <c:pt idx="0">
                  <c:v>Thailand</c:v>
                </c:pt>
              </c:strCache>
            </c:strRef>
          </c:tx>
          <c:spPr>
            <a:ln w="38100" cap="rnd">
              <a:solidFill>
                <a:schemeClr val="accent4">
                  <a:lumMod val="50000"/>
                </a:schemeClr>
              </a:solidFill>
              <a:round/>
            </a:ln>
            <a:effectLst/>
          </c:spPr>
          <c:marker>
            <c:symbol val="circle"/>
            <c:size val="8"/>
            <c:spPr>
              <a:solidFill>
                <a:schemeClr val="accent4">
                  <a:lumMod val="50000"/>
                </a:schemeClr>
              </a:solidFill>
              <a:ln>
                <a:noFill/>
              </a:ln>
              <a:effectLst/>
            </c:spPr>
          </c:marker>
          <c:cat>
            <c:strRef>
              <c:f>Sheet12!$DX$20:$DX$21</c:f>
              <c:strCache>
                <c:ptCount val="1"/>
                <c:pt idx="0">
                  <c:v>15/08/24</c:v>
                </c:pt>
              </c:strCache>
            </c:strRef>
          </c:cat>
          <c:val>
            <c:numRef>
              <c:f>Sheet12!$FF$20:$FF$21</c:f>
              <c:numCache>
                <c:formatCode>General</c:formatCode>
                <c:ptCount val="1"/>
                <c:pt idx="0">
                  <c:v>12.8</c:v>
                </c:pt>
              </c:numCache>
            </c:numRef>
          </c:val>
          <c:smooth val="0"/>
          <c:extLst>
            <c:ext xmlns:c16="http://schemas.microsoft.com/office/drawing/2014/chart" uri="{C3380CC4-5D6E-409C-BE32-E72D297353CC}">
              <c16:uniqueId val="{00000021-D3B3-194D-8A74-3890E21E3D01}"/>
            </c:ext>
          </c:extLst>
        </c:ser>
        <c:ser>
          <c:idx val="34"/>
          <c:order val="34"/>
          <c:tx>
            <c:strRef>
              <c:f>Sheet12!$FG$18:$FG$19</c:f>
              <c:strCache>
                <c:ptCount val="1"/>
                <c:pt idx="0">
                  <c:v>Turkey</c:v>
                </c:pt>
              </c:strCache>
            </c:strRef>
          </c:tx>
          <c:spPr>
            <a:ln w="38100" cap="rnd">
              <a:solidFill>
                <a:schemeClr val="accent5">
                  <a:lumMod val="50000"/>
                </a:schemeClr>
              </a:solidFill>
              <a:round/>
            </a:ln>
            <a:effectLst/>
          </c:spPr>
          <c:marker>
            <c:symbol val="circle"/>
            <c:size val="8"/>
            <c:spPr>
              <a:solidFill>
                <a:schemeClr val="accent5">
                  <a:lumMod val="50000"/>
                </a:schemeClr>
              </a:solidFill>
              <a:ln>
                <a:noFill/>
              </a:ln>
              <a:effectLst/>
            </c:spPr>
          </c:marker>
          <c:cat>
            <c:strRef>
              <c:f>Sheet12!$DX$20:$DX$21</c:f>
              <c:strCache>
                <c:ptCount val="1"/>
                <c:pt idx="0">
                  <c:v>15/08/24</c:v>
                </c:pt>
              </c:strCache>
            </c:strRef>
          </c:cat>
          <c:val>
            <c:numRef>
              <c:f>Sheet12!$FG$20:$FG$21</c:f>
              <c:numCache>
                <c:formatCode>General</c:formatCode>
                <c:ptCount val="1"/>
                <c:pt idx="0">
                  <c:v>-45.6</c:v>
                </c:pt>
              </c:numCache>
            </c:numRef>
          </c:val>
          <c:smooth val="0"/>
          <c:extLst>
            <c:ext xmlns:c16="http://schemas.microsoft.com/office/drawing/2014/chart" uri="{C3380CC4-5D6E-409C-BE32-E72D297353CC}">
              <c16:uniqueId val="{00000022-D3B3-194D-8A74-3890E21E3D01}"/>
            </c:ext>
          </c:extLst>
        </c:ser>
        <c:ser>
          <c:idx val="35"/>
          <c:order val="35"/>
          <c:tx>
            <c:strRef>
              <c:f>Sheet12!$FH$18:$FH$19</c:f>
              <c:strCache>
                <c:ptCount val="1"/>
                <c:pt idx="0">
                  <c:v>UAE</c:v>
                </c:pt>
              </c:strCache>
            </c:strRef>
          </c:tx>
          <c:spPr>
            <a:ln w="38100" cap="rnd">
              <a:solidFill>
                <a:schemeClr val="accent6">
                  <a:lumMod val="50000"/>
                </a:schemeClr>
              </a:solidFill>
              <a:round/>
            </a:ln>
            <a:effectLst/>
          </c:spPr>
          <c:marker>
            <c:symbol val="circle"/>
            <c:size val="8"/>
            <c:spPr>
              <a:solidFill>
                <a:schemeClr val="accent6">
                  <a:lumMod val="50000"/>
                </a:schemeClr>
              </a:solidFill>
              <a:ln>
                <a:noFill/>
              </a:ln>
              <a:effectLst/>
            </c:spPr>
          </c:marker>
          <c:cat>
            <c:strRef>
              <c:f>Sheet12!$DX$20:$DX$21</c:f>
              <c:strCache>
                <c:ptCount val="1"/>
                <c:pt idx="0">
                  <c:v>15/08/24</c:v>
                </c:pt>
              </c:strCache>
            </c:strRef>
          </c:cat>
          <c:val>
            <c:numRef>
              <c:f>Sheet12!$FH$20:$FH$21</c:f>
              <c:numCache>
                <c:formatCode>General</c:formatCode>
                <c:ptCount val="1"/>
                <c:pt idx="0">
                  <c:v>67.8</c:v>
                </c:pt>
              </c:numCache>
            </c:numRef>
          </c:val>
          <c:smooth val="0"/>
          <c:extLst>
            <c:ext xmlns:c16="http://schemas.microsoft.com/office/drawing/2014/chart" uri="{C3380CC4-5D6E-409C-BE32-E72D297353CC}">
              <c16:uniqueId val="{00000023-D3B3-194D-8A74-3890E21E3D01}"/>
            </c:ext>
          </c:extLst>
        </c:ser>
        <c:ser>
          <c:idx val="36"/>
          <c:order val="36"/>
          <c:tx>
            <c:strRef>
              <c:f>Sheet12!$FI$18:$FI$19</c:f>
              <c:strCache>
                <c:ptCount val="1"/>
                <c:pt idx="0">
                  <c:v>United Kingdom</c:v>
                </c:pt>
              </c:strCache>
            </c:strRef>
          </c:tx>
          <c:spPr>
            <a:ln w="38100" cap="rnd">
              <a:solidFill>
                <a:schemeClr val="accent1">
                  <a:lumMod val="70000"/>
                  <a:lumOff val="30000"/>
                </a:schemeClr>
              </a:solidFill>
              <a:round/>
            </a:ln>
            <a:effectLst/>
          </c:spPr>
          <c:marker>
            <c:symbol val="circle"/>
            <c:size val="8"/>
            <c:spPr>
              <a:solidFill>
                <a:schemeClr val="accent1">
                  <a:lumMod val="70000"/>
                  <a:lumOff val="30000"/>
                </a:schemeClr>
              </a:solidFill>
              <a:ln>
                <a:noFill/>
              </a:ln>
              <a:effectLst/>
            </c:spPr>
          </c:marker>
          <c:cat>
            <c:strRef>
              <c:f>Sheet12!$DX$20:$DX$21</c:f>
              <c:strCache>
                <c:ptCount val="1"/>
                <c:pt idx="0">
                  <c:v>15/08/24</c:v>
                </c:pt>
              </c:strCache>
            </c:strRef>
          </c:cat>
          <c:val>
            <c:numRef>
              <c:f>Sheet12!$FI$20:$FI$21</c:f>
              <c:numCache>
                <c:formatCode>General</c:formatCode>
                <c:ptCount val="1"/>
                <c:pt idx="0">
                  <c:v>-85.6</c:v>
                </c:pt>
              </c:numCache>
            </c:numRef>
          </c:val>
          <c:smooth val="0"/>
          <c:extLst>
            <c:ext xmlns:c16="http://schemas.microsoft.com/office/drawing/2014/chart" uri="{C3380CC4-5D6E-409C-BE32-E72D297353CC}">
              <c16:uniqueId val="{00000024-D3B3-194D-8A74-3890E21E3D01}"/>
            </c:ext>
          </c:extLst>
        </c:ser>
        <c:ser>
          <c:idx val="37"/>
          <c:order val="37"/>
          <c:tx>
            <c:strRef>
              <c:f>Sheet12!$FJ$18:$FJ$19</c:f>
              <c:strCache>
                <c:ptCount val="1"/>
                <c:pt idx="0">
                  <c:v>United States</c:v>
                </c:pt>
              </c:strCache>
            </c:strRef>
          </c:tx>
          <c:spPr>
            <a:ln w="38100" cap="rnd">
              <a:solidFill>
                <a:schemeClr val="accent2">
                  <a:lumMod val="70000"/>
                  <a:lumOff val="30000"/>
                </a:schemeClr>
              </a:solidFill>
              <a:round/>
            </a:ln>
            <a:effectLst/>
          </c:spPr>
          <c:marker>
            <c:symbol val="circle"/>
            <c:size val="8"/>
            <c:spPr>
              <a:solidFill>
                <a:schemeClr val="accent2">
                  <a:lumMod val="70000"/>
                  <a:lumOff val="30000"/>
                </a:schemeClr>
              </a:solidFill>
              <a:ln>
                <a:noFill/>
              </a:ln>
              <a:effectLst/>
            </c:spPr>
          </c:marker>
          <c:cat>
            <c:strRef>
              <c:f>Sheet12!$DX$20:$DX$21</c:f>
              <c:strCache>
                <c:ptCount val="1"/>
                <c:pt idx="0">
                  <c:v>15/08/24</c:v>
                </c:pt>
              </c:strCache>
            </c:strRef>
          </c:cat>
          <c:val>
            <c:numRef>
              <c:f>Sheet12!$FJ$20:$FJ$21</c:f>
              <c:numCache>
                <c:formatCode>General</c:formatCode>
                <c:ptCount val="1"/>
                <c:pt idx="0">
                  <c:v>-695.2</c:v>
                </c:pt>
              </c:numCache>
            </c:numRef>
          </c:val>
          <c:smooth val="0"/>
          <c:extLst>
            <c:ext xmlns:c16="http://schemas.microsoft.com/office/drawing/2014/chart" uri="{C3380CC4-5D6E-409C-BE32-E72D297353CC}">
              <c16:uniqueId val="{00000025-D3B3-194D-8A74-3890E21E3D01}"/>
            </c:ext>
          </c:extLst>
        </c:ser>
        <c:ser>
          <c:idx val="38"/>
          <c:order val="38"/>
          <c:tx>
            <c:strRef>
              <c:f>Sheet12!$FK$18:$FK$19</c:f>
              <c:strCache>
                <c:ptCount val="1"/>
                <c:pt idx="0">
                  <c:v>Vietnam</c:v>
                </c:pt>
              </c:strCache>
            </c:strRef>
          </c:tx>
          <c:spPr>
            <a:ln w="38100" cap="rnd">
              <a:solidFill>
                <a:schemeClr val="accent3">
                  <a:lumMod val="70000"/>
                  <a:lumOff val="30000"/>
                </a:schemeClr>
              </a:solidFill>
              <a:round/>
            </a:ln>
            <a:effectLst/>
          </c:spPr>
          <c:marker>
            <c:symbol val="circle"/>
            <c:size val="8"/>
            <c:spPr>
              <a:solidFill>
                <a:schemeClr val="accent3">
                  <a:lumMod val="70000"/>
                  <a:lumOff val="30000"/>
                </a:schemeClr>
              </a:solidFill>
              <a:ln>
                <a:noFill/>
              </a:ln>
              <a:effectLst/>
            </c:spPr>
          </c:marker>
          <c:cat>
            <c:strRef>
              <c:f>Sheet12!$DX$20:$DX$21</c:f>
              <c:strCache>
                <c:ptCount val="1"/>
                <c:pt idx="0">
                  <c:v>15/08/24</c:v>
                </c:pt>
              </c:strCache>
            </c:strRef>
          </c:cat>
          <c:val>
            <c:numRef>
              <c:f>Sheet12!$FK$20:$FK$21</c:f>
              <c:numCache>
                <c:formatCode>General</c:formatCode>
                <c:ptCount val="1"/>
                <c:pt idx="0">
                  <c:v>12.8</c:v>
                </c:pt>
              </c:numCache>
            </c:numRef>
          </c:val>
          <c:smooth val="0"/>
          <c:extLst>
            <c:ext xmlns:c16="http://schemas.microsoft.com/office/drawing/2014/chart" uri="{C3380CC4-5D6E-409C-BE32-E72D297353CC}">
              <c16:uniqueId val="{00000026-D3B3-194D-8A74-3890E21E3D01}"/>
            </c:ext>
          </c:extLst>
        </c:ser>
        <c:dLbls>
          <c:showLegendKey val="0"/>
          <c:showVal val="0"/>
          <c:showCatName val="0"/>
          <c:showSerName val="0"/>
          <c:showPercent val="0"/>
          <c:showBubbleSize val="0"/>
        </c:dLbls>
        <c:marker val="1"/>
        <c:smooth val="0"/>
        <c:axId val="216348863"/>
        <c:axId val="170717023"/>
      </c:lineChart>
      <c:catAx>
        <c:axId val="2163488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170717023"/>
        <c:crosses val="autoZero"/>
        <c:auto val="1"/>
        <c:lblAlgn val="ctr"/>
        <c:lblOffset val="100"/>
        <c:noMultiLvlLbl val="0"/>
      </c:catAx>
      <c:valAx>
        <c:axId val="170717023"/>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6348863"/>
        <c:crosses val="autoZero"/>
        <c:crossBetween val="between"/>
      </c:valAx>
      <c:spPr>
        <a:noFill/>
        <a:ln>
          <a:noFill/>
        </a:ln>
        <a:effectLst/>
      </c:spPr>
    </c:plotArea>
    <c:legend>
      <c:legendPos val="r"/>
      <c:layout>
        <c:manualLayout>
          <c:xMode val="edge"/>
          <c:yMode val="edge"/>
          <c:x val="0.85783649692691233"/>
          <c:y val="0.10648277931934519"/>
          <c:w val="0.13490377969122461"/>
          <c:h val="0.892548584888010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[Saravanan Milestone.xlsx]Sheet12!PivotTable20</c:name>
    <c:fmtId val="31"/>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percentStacked"/>
        <c:varyColors val="0"/>
        <c:ser>
          <c:idx val="0"/>
          <c:order val="0"/>
          <c:tx>
            <c:strRef>
              <c:f>Sheet12!$EZ$52</c:f>
              <c:strCache>
                <c:ptCount val="1"/>
                <c:pt idx="0">
                  <c:v>Sum of Oil_Price_USD_Barrel</c:v>
                </c:pt>
              </c:strCache>
            </c:strRef>
          </c:tx>
          <c:spPr>
            <a:solidFill>
              <a:schemeClr val="accent1"/>
            </a:solidFill>
            <a:ln>
              <a:noFill/>
            </a:ln>
            <a:effectLst/>
            <a:sp3d/>
          </c:spPr>
          <c:invertIfNegative val="0"/>
          <c:cat>
            <c:strRef>
              <c:f>Sheet12!$EY$53:$EY$54</c:f>
              <c:strCache>
                <c:ptCount val="1"/>
                <c:pt idx="0">
                  <c:v>15/08/24</c:v>
                </c:pt>
              </c:strCache>
            </c:strRef>
          </c:cat>
          <c:val>
            <c:numRef>
              <c:f>Sheet12!$EZ$53:$EZ$54</c:f>
              <c:numCache>
                <c:formatCode>General</c:formatCode>
                <c:ptCount val="1"/>
                <c:pt idx="0">
                  <c:v>3036.1499999999978</c:v>
                </c:pt>
              </c:numCache>
            </c:numRef>
          </c:val>
          <c:extLst>
            <c:ext xmlns:c16="http://schemas.microsoft.com/office/drawing/2014/chart" uri="{C3380CC4-5D6E-409C-BE32-E72D297353CC}">
              <c16:uniqueId val="{00000000-7A18-EE43-AD0B-71C29D3A1948}"/>
            </c:ext>
          </c:extLst>
        </c:ser>
        <c:ser>
          <c:idx val="1"/>
          <c:order val="1"/>
          <c:tx>
            <c:strRef>
              <c:f>Sheet12!$FA$52</c:f>
              <c:strCache>
                <c:ptCount val="1"/>
                <c:pt idx="0">
                  <c:v>Sum of Gold_Price_USD_Ounce</c:v>
                </c:pt>
              </c:strCache>
            </c:strRef>
          </c:tx>
          <c:spPr>
            <a:solidFill>
              <a:schemeClr val="accent2"/>
            </a:solidFill>
            <a:ln>
              <a:noFill/>
            </a:ln>
            <a:effectLst/>
            <a:sp3d/>
          </c:spPr>
          <c:invertIfNegative val="0"/>
          <c:cat>
            <c:strRef>
              <c:f>Sheet12!$EY$53:$EY$54</c:f>
              <c:strCache>
                <c:ptCount val="1"/>
                <c:pt idx="0">
                  <c:v>15/08/24</c:v>
                </c:pt>
              </c:strCache>
            </c:strRef>
          </c:cat>
          <c:val>
            <c:numRef>
              <c:f>Sheet12!$FA$53:$FA$54</c:f>
              <c:numCache>
                <c:formatCode>General</c:formatCode>
                <c:ptCount val="1"/>
                <c:pt idx="0">
                  <c:v>97012.5</c:v>
                </c:pt>
              </c:numCache>
            </c:numRef>
          </c:val>
          <c:extLst>
            <c:ext xmlns:c16="http://schemas.microsoft.com/office/drawing/2014/chart" uri="{C3380CC4-5D6E-409C-BE32-E72D297353CC}">
              <c16:uniqueId val="{00000001-7A18-EE43-AD0B-71C29D3A1948}"/>
            </c:ext>
          </c:extLst>
        </c:ser>
        <c:dLbls>
          <c:showLegendKey val="0"/>
          <c:showVal val="0"/>
          <c:showCatName val="0"/>
          <c:showSerName val="0"/>
          <c:showPercent val="0"/>
          <c:showBubbleSize val="0"/>
        </c:dLbls>
        <c:gapWidth val="150"/>
        <c:shape val="box"/>
        <c:axId val="171825295"/>
        <c:axId val="227226911"/>
        <c:axId val="0"/>
      </c:bar3DChart>
      <c:catAx>
        <c:axId val="17182529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7226911"/>
        <c:crosses val="autoZero"/>
        <c:auto val="1"/>
        <c:lblAlgn val="ctr"/>
        <c:lblOffset val="100"/>
        <c:noMultiLvlLbl val="0"/>
      </c:catAx>
      <c:valAx>
        <c:axId val="22722691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8252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[Saravanan Milestone.xlsx]Sheet12!PivotTable21</c:name>
    <c:fmtId val="39"/>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6">
              <a:alpha val="85000"/>
            </a:schemeClr>
          </a:solidFill>
          <a:ln w="9525" cap="flat" cmpd="sng" algn="ctr">
            <a:solidFill>
              <a:schemeClr val="accent6">
                <a:lumMod val="75000"/>
              </a:schemeClr>
            </a:solidFill>
            <a:round/>
          </a:ln>
          <a:effectLst/>
          <a:sp3d contourW="9525">
            <a:contourClr>
              <a:schemeClr val="accent6">
                <a:lumMod val="75000"/>
              </a:schemeClr>
            </a:contourClr>
          </a:sp3d>
        </c:spPr>
        <c:marker>
          <c:symbol val="circle"/>
          <c:size val="6"/>
          <c:spPr>
            <a:solidFill>
              <a:schemeClr val="accent6">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alpha val="85000"/>
            </a:schemeClr>
          </a:solidFill>
          <a:ln w="9525" cap="flat" cmpd="sng" algn="ctr">
            <a:solidFill>
              <a:schemeClr val="accent6">
                <a:lumMod val="75000"/>
              </a:schemeClr>
            </a:solidFill>
            <a:round/>
          </a:ln>
          <a:effectLst/>
          <a:sp3d contourW="9525">
            <a:contourClr>
              <a:schemeClr val="accent6">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alpha val="85000"/>
            </a:schemeClr>
          </a:solidFill>
          <a:ln w="9525" cap="flat" cmpd="sng" algn="ctr">
            <a:solidFill>
              <a:schemeClr val="accent6">
                <a:lumMod val="75000"/>
              </a:schemeClr>
            </a:solidFill>
            <a:round/>
          </a:ln>
          <a:effectLst/>
          <a:sp3d contourW="9525">
            <a:contourClr>
              <a:schemeClr val="accent6">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Sheet12!$FH$40</c:f>
              <c:strCache>
                <c:ptCount val="1"/>
                <c:pt idx="0">
                  <c:v>Total</c:v>
                </c:pt>
              </c:strCache>
            </c:strRef>
          </c:tx>
          <c:spPr>
            <a:solidFill>
              <a:schemeClr val="accent6">
                <a:alpha val="85000"/>
              </a:schemeClr>
            </a:solidFill>
            <a:ln w="9525" cap="flat" cmpd="sng" algn="ctr">
              <a:solidFill>
                <a:schemeClr val="accent6">
                  <a:lumMod val="75000"/>
                </a:schemeClr>
              </a:solidFill>
              <a:round/>
            </a:ln>
            <a:effectLst/>
            <a:sp3d contourW="9525">
              <a:contourClr>
                <a:schemeClr val="accent6">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Sheet12!$FG$41:$FG$55</c:f>
              <c:strCache>
                <c:ptCount val="14"/>
                <c:pt idx="0">
                  <c:v>A</c:v>
                </c:pt>
                <c:pt idx="1">
                  <c:v>A-</c:v>
                </c:pt>
                <c:pt idx="2">
                  <c:v>A+</c:v>
                </c:pt>
                <c:pt idx="3">
                  <c:v>AA</c:v>
                </c:pt>
                <c:pt idx="4">
                  <c:v>AA+</c:v>
                </c:pt>
                <c:pt idx="5">
                  <c:v>AAA</c:v>
                </c:pt>
                <c:pt idx="6">
                  <c:v>B-</c:v>
                </c:pt>
                <c:pt idx="7">
                  <c:v>B+</c:v>
                </c:pt>
                <c:pt idx="8">
                  <c:v>BB-</c:v>
                </c:pt>
                <c:pt idx="9">
                  <c:v>BB+</c:v>
                </c:pt>
                <c:pt idx="10">
                  <c:v>BBB</c:v>
                </c:pt>
                <c:pt idx="11">
                  <c:v>BBB-</c:v>
                </c:pt>
                <c:pt idx="12">
                  <c:v>BBB+</c:v>
                </c:pt>
                <c:pt idx="13">
                  <c:v>CCC+</c:v>
                </c:pt>
              </c:strCache>
            </c:strRef>
          </c:cat>
          <c:val>
            <c:numRef>
              <c:f>Sheet12!$FH$41:$FH$55</c:f>
              <c:numCache>
                <c:formatCode>General</c:formatCode>
                <c:ptCount val="14"/>
                <c:pt idx="0">
                  <c:v>2</c:v>
                </c:pt>
                <c:pt idx="1">
                  <c:v>2</c:v>
                </c:pt>
                <c:pt idx="2">
                  <c:v>3</c:v>
                </c:pt>
                <c:pt idx="3">
                  <c:v>5</c:v>
                </c:pt>
                <c:pt idx="4">
                  <c:v>1</c:v>
                </c:pt>
                <c:pt idx="5">
                  <c:v>10</c:v>
                </c:pt>
                <c:pt idx="6">
                  <c:v>1</c:v>
                </c:pt>
                <c:pt idx="7">
                  <c:v>2</c:v>
                </c:pt>
                <c:pt idx="8">
                  <c:v>2</c:v>
                </c:pt>
                <c:pt idx="9">
                  <c:v>3</c:v>
                </c:pt>
                <c:pt idx="10">
                  <c:v>3</c:v>
                </c:pt>
                <c:pt idx="11">
                  <c:v>1</c:v>
                </c:pt>
                <c:pt idx="12">
                  <c:v>3</c:v>
                </c:pt>
                <c:pt idx="13">
                  <c:v>1</c:v>
                </c:pt>
              </c:numCache>
            </c:numRef>
          </c:val>
          <c:extLst>
            <c:ext xmlns:c16="http://schemas.microsoft.com/office/drawing/2014/chart" uri="{C3380CC4-5D6E-409C-BE32-E72D297353CC}">
              <c16:uniqueId val="{00000000-7078-E24E-8A85-E92D834E559F}"/>
            </c:ext>
          </c:extLst>
        </c:ser>
        <c:dLbls>
          <c:showLegendKey val="0"/>
          <c:showVal val="1"/>
          <c:showCatName val="0"/>
          <c:showSerName val="0"/>
          <c:showPercent val="0"/>
          <c:showBubbleSize val="0"/>
        </c:dLbls>
        <c:gapWidth val="65"/>
        <c:shape val="box"/>
        <c:axId val="174964079"/>
        <c:axId val="247610879"/>
        <c:axId val="243444687"/>
      </c:bar3DChart>
      <c:catAx>
        <c:axId val="174964079"/>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47610879"/>
        <c:crosses val="autoZero"/>
        <c:auto val="1"/>
        <c:lblAlgn val="ctr"/>
        <c:lblOffset val="100"/>
        <c:noMultiLvlLbl val="0"/>
      </c:catAx>
      <c:valAx>
        <c:axId val="247610879"/>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74964079"/>
        <c:crosses val="autoZero"/>
        <c:crossBetween val="between"/>
      </c:valAx>
      <c:serAx>
        <c:axId val="243444687"/>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247610879"/>
        <c:crosses val="autoZero"/>
      </c:ser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7"/>
    </mc:Choice>
    <mc:Fallback>
      <c:style val="7"/>
    </mc:Fallback>
  </mc:AlternateContent>
  <c:pivotSource>
    <c:name>[Saravanan Milestone.xlsx]Sheet12!PivotTable22</c:name>
    <c:fmtId val="42"/>
  </c:pivotSource>
  <c:chart>
    <c:autoTitleDeleted val="0"/>
    <c:pivotFmts>
      <c:pivotFmt>
        <c:idx val="0"/>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Sheet12!$GD$29</c:f>
              <c:strCache>
                <c:ptCount val="1"/>
                <c:pt idx="0">
                  <c:v>Count of Country</c:v>
                </c:pt>
              </c:strCache>
            </c:strRef>
          </c:tx>
          <c:spPr>
            <a:solidFill>
              <a:schemeClr val="accent5">
                <a:tint val="77000"/>
              </a:schemeClr>
            </a:solidFill>
            <a:ln>
              <a:noFill/>
            </a:ln>
            <a:effectLst/>
            <a:sp3d/>
          </c:spPr>
          <c:invertIfNegative val="0"/>
          <c:cat>
            <c:strRef>
              <c:f>Sheet12!$GD$30</c:f>
              <c:strCache>
                <c:ptCount val="1"/>
                <c:pt idx="0">
                  <c:v>Total</c:v>
                </c:pt>
              </c:strCache>
            </c:strRef>
          </c:cat>
          <c:val>
            <c:numRef>
              <c:f>Sheet12!$GD$30</c:f>
              <c:numCache>
                <c:formatCode>General</c:formatCode>
                <c:ptCount val="1"/>
                <c:pt idx="0">
                  <c:v>39</c:v>
                </c:pt>
              </c:numCache>
            </c:numRef>
          </c:val>
          <c:extLst>
            <c:ext xmlns:c16="http://schemas.microsoft.com/office/drawing/2014/chart" uri="{C3380CC4-5D6E-409C-BE32-E72D297353CC}">
              <c16:uniqueId val="{00000000-B9C0-3847-92D3-19C07227878D}"/>
            </c:ext>
          </c:extLst>
        </c:ser>
        <c:ser>
          <c:idx val="1"/>
          <c:order val="1"/>
          <c:tx>
            <c:strRef>
              <c:f>Sheet12!$GE$29</c:f>
              <c:strCache>
                <c:ptCount val="1"/>
                <c:pt idx="0">
                  <c:v>Sum of Political_Risk_Score</c:v>
                </c:pt>
              </c:strCache>
            </c:strRef>
          </c:tx>
          <c:spPr>
            <a:solidFill>
              <a:schemeClr val="accent5">
                <a:shade val="76000"/>
              </a:schemeClr>
            </a:solidFill>
            <a:ln>
              <a:noFill/>
            </a:ln>
            <a:effectLst/>
            <a:sp3d/>
          </c:spPr>
          <c:invertIfNegative val="0"/>
          <c:cat>
            <c:strRef>
              <c:f>Sheet12!$GD$30</c:f>
              <c:strCache>
                <c:ptCount val="1"/>
                <c:pt idx="0">
                  <c:v>Total</c:v>
                </c:pt>
              </c:strCache>
            </c:strRef>
          </c:cat>
          <c:val>
            <c:numRef>
              <c:f>Sheet12!$GE$30</c:f>
              <c:numCache>
                <c:formatCode>General</c:formatCode>
                <c:ptCount val="1"/>
                <c:pt idx="0">
                  <c:v>274.39999999999998</c:v>
                </c:pt>
              </c:numCache>
            </c:numRef>
          </c:val>
          <c:extLst>
            <c:ext xmlns:c16="http://schemas.microsoft.com/office/drawing/2014/chart" uri="{C3380CC4-5D6E-409C-BE32-E72D297353CC}">
              <c16:uniqueId val="{00000001-B9C0-3847-92D3-19C07227878D}"/>
            </c:ext>
          </c:extLst>
        </c:ser>
        <c:dLbls>
          <c:showLegendKey val="0"/>
          <c:showVal val="0"/>
          <c:showCatName val="0"/>
          <c:showSerName val="0"/>
          <c:showPercent val="0"/>
          <c:showBubbleSize val="0"/>
        </c:dLbls>
        <c:gapWidth val="150"/>
        <c:shape val="box"/>
        <c:axId val="211871327"/>
        <c:axId val="227529551"/>
        <c:axId val="0"/>
      </c:bar3DChart>
      <c:catAx>
        <c:axId val="2118713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7529551"/>
        <c:crosses val="autoZero"/>
        <c:auto val="1"/>
        <c:lblAlgn val="ctr"/>
        <c:lblOffset val="100"/>
        <c:noMultiLvlLbl val="0"/>
      </c:catAx>
      <c:valAx>
        <c:axId val="22752955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8713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[Saravanan Milestone.xlsx]Sheet12!PivotTable23</c:name>
    <c:fmtId val="47"/>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3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3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3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4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s>
    <c:plotArea>
      <c:layout/>
      <c:ofPieChart>
        <c:ofPieType val="bar"/>
        <c:varyColors val="1"/>
        <c:ser>
          <c:idx val="0"/>
          <c:order val="0"/>
          <c:tx>
            <c:strRef>
              <c:f>Sheet12!$GL$28:$GL$29</c:f>
              <c:strCache>
                <c:ptCount val="1"/>
                <c:pt idx="0">
                  <c:v>Strong</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01-C09A-F444-A89E-DAEF4A7EC4D5}"/>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extLst>
              <c:ext xmlns:c16="http://schemas.microsoft.com/office/drawing/2014/chart" uri="{C3380CC4-5D6E-409C-BE32-E72D297353CC}">
                <c16:uniqueId val="{00000003-C09A-F444-A89E-DAEF4A7EC4D5}"/>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extLst>
              <c:ext xmlns:c16="http://schemas.microsoft.com/office/drawing/2014/chart" uri="{C3380CC4-5D6E-409C-BE32-E72D297353CC}">
                <c16:uniqueId val="{00000005-C09A-F444-A89E-DAEF4A7EC4D5}"/>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extLst>
              <c:ext xmlns:c16="http://schemas.microsoft.com/office/drawing/2014/chart" uri="{C3380CC4-5D6E-409C-BE32-E72D297353CC}">
                <c16:uniqueId val="{00000007-C09A-F444-A89E-DAEF4A7EC4D5}"/>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extLst>
              <c:ext xmlns:c16="http://schemas.microsoft.com/office/drawing/2014/chart" uri="{C3380CC4-5D6E-409C-BE32-E72D297353CC}">
                <c16:uniqueId val="{00000009-C09A-F444-A89E-DAEF4A7EC4D5}"/>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extLst>
              <c:ext xmlns:c16="http://schemas.microsoft.com/office/drawing/2014/chart" uri="{C3380CC4-5D6E-409C-BE32-E72D297353CC}">
                <c16:uniqueId val="{0000000B-C09A-F444-A89E-DAEF4A7EC4D5}"/>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c:spPr>
            <c:extLst>
              <c:ext xmlns:c16="http://schemas.microsoft.com/office/drawing/2014/chart" uri="{C3380CC4-5D6E-409C-BE32-E72D297353CC}">
                <c16:uniqueId val="{0000000D-C09A-F444-A89E-DAEF4A7EC4D5}"/>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c:spPr>
            <c:extLst>
              <c:ext xmlns:c16="http://schemas.microsoft.com/office/drawing/2014/chart" uri="{C3380CC4-5D6E-409C-BE32-E72D297353CC}">
                <c16:uniqueId val="{0000000F-C09A-F444-A89E-DAEF4A7EC4D5}"/>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c:spPr>
            <c:extLst>
              <c:ext xmlns:c16="http://schemas.microsoft.com/office/drawing/2014/chart" uri="{C3380CC4-5D6E-409C-BE32-E72D297353CC}">
                <c16:uniqueId val="{00000011-C09A-F444-A89E-DAEF4A7EC4D5}"/>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c:spPr>
            <c:extLst>
              <c:ext xmlns:c16="http://schemas.microsoft.com/office/drawing/2014/chart" uri="{C3380CC4-5D6E-409C-BE32-E72D297353CC}">
                <c16:uniqueId val="{00000013-C09A-F444-A89E-DAEF4A7EC4D5}"/>
              </c:ext>
            </c:extLst>
          </c:dPt>
          <c:dPt>
            <c:idx val="10"/>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c:spPr>
            <c:extLst>
              <c:ext xmlns:c16="http://schemas.microsoft.com/office/drawing/2014/chart" uri="{C3380CC4-5D6E-409C-BE32-E72D297353CC}">
                <c16:uniqueId val="{00000015-C09A-F444-A89E-DAEF4A7EC4D5}"/>
              </c:ext>
            </c:extLst>
          </c:dPt>
          <c:dPt>
            <c:idx val="11"/>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c:spPr>
            <c:extLst>
              <c:ext xmlns:c16="http://schemas.microsoft.com/office/drawing/2014/chart" uri="{C3380CC4-5D6E-409C-BE32-E72D297353CC}">
                <c16:uniqueId val="{00000017-C09A-F444-A89E-DAEF4A7EC4D5}"/>
              </c:ext>
            </c:extLst>
          </c:dPt>
          <c:dPt>
            <c:idx val="12"/>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c:spPr>
            <c:extLst>
              <c:ext xmlns:c16="http://schemas.microsoft.com/office/drawing/2014/chart" uri="{C3380CC4-5D6E-409C-BE32-E72D297353CC}">
                <c16:uniqueId val="{00000019-C09A-F444-A89E-DAEF4A7EC4D5}"/>
              </c:ext>
            </c:extLst>
          </c:dPt>
          <c:dPt>
            <c:idx val="13"/>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c:spPr>
            <c:extLst>
              <c:ext xmlns:c16="http://schemas.microsoft.com/office/drawing/2014/chart" uri="{C3380CC4-5D6E-409C-BE32-E72D297353CC}">
                <c16:uniqueId val="{0000001B-C09A-F444-A89E-DAEF4A7EC4D5}"/>
              </c:ext>
            </c:extLst>
          </c:dPt>
          <c:dPt>
            <c:idx val="14"/>
            <c:bubble3D val="0"/>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c:spPr>
            <c:extLst>
              <c:ext xmlns:c16="http://schemas.microsoft.com/office/drawing/2014/chart" uri="{C3380CC4-5D6E-409C-BE32-E72D297353CC}">
                <c16:uniqueId val="{0000001D-C09A-F444-A89E-DAEF4A7EC4D5}"/>
              </c:ext>
            </c:extLst>
          </c:dPt>
          <c:dPt>
            <c:idx val="15"/>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c:spPr>
            <c:extLst>
              <c:ext xmlns:c16="http://schemas.microsoft.com/office/drawing/2014/chart" uri="{C3380CC4-5D6E-409C-BE32-E72D297353CC}">
                <c16:uniqueId val="{0000001F-C09A-F444-A89E-DAEF4A7EC4D5}"/>
              </c:ext>
            </c:extLst>
          </c:dPt>
          <c:dPt>
            <c:idx val="16"/>
            <c:bubble3D val="0"/>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c:spPr>
            <c:extLst>
              <c:ext xmlns:c16="http://schemas.microsoft.com/office/drawing/2014/chart" uri="{C3380CC4-5D6E-409C-BE32-E72D297353CC}">
                <c16:uniqueId val="{00000021-C09A-F444-A89E-DAEF4A7EC4D5}"/>
              </c:ext>
            </c:extLst>
          </c:dPt>
          <c:dPt>
            <c:idx val="17"/>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c:spPr>
            <c:extLst>
              <c:ext xmlns:c16="http://schemas.microsoft.com/office/drawing/2014/chart" uri="{C3380CC4-5D6E-409C-BE32-E72D297353CC}">
                <c16:uniqueId val="{00000023-C09A-F444-A89E-DAEF4A7EC4D5}"/>
              </c:ext>
            </c:extLst>
          </c:dPt>
          <c:dPt>
            <c:idx val="18"/>
            <c:bubble3D val="0"/>
            <c:spPr>
              <a:gradFill rotWithShape="1">
                <a:gsLst>
                  <a:gs pos="0">
                    <a:schemeClr val="accent1">
                      <a:lumMod val="80000"/>
                      <a:satMod val="103000"/>
                      <a:lumMod val="102000"/>
                      <a:tint val="94000"/>
                    </a:schemeClr>
                  </a:gs>
                  <a:gs pos="50000">
                    <a:schemeClr val="accent1">
                      <a:lumMod val="80000"/>
                      <a:satMod val="110000"/>
                      <a:lumMod val="100000"/>
                      <a:shade val="100000"/>
                    </a:schemeClr>
                  </a:gs>
                  <a:gs pos="100000">
                    <a:schemeClr val="accent1">
                      <a:lumMod val="80000"/>
                      <a:lumMod val="99000"/>
                      <a:satMod val="120000"/>
                      <a:shade val="78000"/>
                    </a:schemeClr>
                  </a:gs>
                </a:gsLst>
                <a:lin ang="5400000" scaled="0"/>
              </a:gradFill>
              <a:ln>
                <a:noFill/>
              </a:ln>
              <a:effectLst/>
            </c:spPr>
            <c:extLst>
              <c:ext xmlns:c16="http://schemas.microsoft.com/office/drawing/2014/chart" uri="{C3380CC4-5D6E-409C-BE32-E72D297353CC}">
                <c16:uniqueId val="{00000025-C09A-F444-A89E-DAEF4A7EC4D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Sheet12!$GK$30:$GK$44</c:f>
              <c:strCache>
                <c:ptCount val="14"/>
                <c:pt idx="0">
                  <c:v>Australia</c:v>
                </c:pt>
                <c:pt idx="1">
                  <c:v>Canada</c:v>
                </c:pt>
                <c:pt idx="2">
                  <c:v>Denmark</c:v>
                </c:pt>
                <c:pt idx="3">
                  <c:v>Germany</c:v>
                </c:pt>
                <c:pt idx="4">
                  <c:v>Japan</c:v>
                </c:pt>
                <c:pt idx="5">
                  <c:v>Netherlands</c:v>
                </c:pt>
                <c:pt idx="6">
                  <c:v>Norway</c:v>
                </c:pt>
                <c:pt idx="7">
                  <c:v>Singapore</c:v>
                </c:pt>
                <c:pt idx="8">
                  <c:v>South Korea</c:v>
                </c:pt>
                <c:pt idx="9">
                  <c:v>Sweden</c:v>
                </c:pt>
                <c:pt idx="10">
                  <c:v>Switzerland</c:v>
                </c:pt>
                <c:pt idx="11">
                  <c:v>Taiwan</c:v>
                </c:pt>
                <c:pt idx="12">
                  <c:v>UAE</c:v>
                </c:pt>
                <c:pt idx="13">
                  <c:v>United States</c:v>
                </c:pt>
              </c:strCache>
            </c:strRef>
          </c:cat>
          <c:val>
            <c:numRef>
              <c:f>Sheet12!$GL$30:$GL$44</c:f>
              <c:numCache>
                <c:formatCode>General</c:formatCode>
                <c:ptCount val="14"/>
                <c:pt idx="0">
                  <c:v>1</c:v>
                </c:pt>
                <c:pt idx="1">
                  <c:v>1</c:v>
                </c:pt>
                <c:pt idx="2">
                  <c:v>1</c:v>
                </c:pt>
                <c:pt idx="3">
                  <c:v>1</c:v>
                </c:pt>
                <c:pt idx="4">
                  <c:v>1</c:v>
                </c:pt>
                <c:pt idx="5">
                  <c:v>1</c:v>
                </c:pt>
                <c:pt idx="6">
                  <c:v>1</c:v>
                </c:pt>
                <c:pt idx="7">
                  <c:v>1</c:v>
                </c:pt>
                <c:pt idx="8">
                  <c:v>1</c:v>
                </c:pt>
                <c:pt idx="9">
                  <c:v>1</c:v>
                </c:pt>
                <c:pt idx="10">
                  <c:v>1</c:v>
                </c:pt>
                <c:pt idx="11">
                  <c:v>1</c:v>
                </c:pt>
                <c:pt idx="12">
                  <c:v>1</c:v>
                </c:pt>
                <c:pt idx="13">
                  <c:v>1</c:v>
                </c:pt>
              </c:numCache>
            </c:numRef>
          </c:val>
          <c:extLst>
            <c:ext xmlns:c16="http://schemas.microsoft.com/office/drawing/2014/chart" uri="{C3380CC4-5D6E-409C-BE32-E72D297353CC}">
              <c16:uniqueId val="{00000026-C09A-F444-A89E-DAEF4A7EC4D5}"/>
            </c:ext>
          </c:extLst>
        </c:ser>
        <c:dLbls>
          <c:dLblPos val="inEnd"/>
          <c:showLegendKey val="0"/>
          <c:showVal val="0"/>
          <c:showCatName val="0"/>
          <c:showSerName val="0"/>
          <c:showPercent val="1"/>
          <c:showBubbleSize val="0"/>
          <c:showLeaderLines val="1"/>
        </c:dLbls>
        <c:gapWidth val="100"/>
        <c:secondPieSize val="75"/>
        <c:serLines>
          <c:spPr>
            <a:ln w="9525">
              <a:solidFill>
                <a:schemeClr val="tx2">
                  <a:lumMod val="60000"/>
                  <a:lumOff val="40000"/>
                </a:schemeClr>
              </a:solidFill>
              <a:prstDash val="dash"/>
            </a:ln>
            <a:effectLst/>
          </c:spPr>
        </c:serLines>
      </c:of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[Saravanan Milestone.xlsx]Sheet12!PivotTable15</c:name>
    <c:fmtId val="18"/>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w="25400">
          <a:noFill/>
        </a:ln>
        <a:effectLst/>
        <a:sp3d/>
      </c:spPr>
    </c:sideWall>
    <c:backWall>
      <c:thickness val="0"/>
      <c:spPr>
        <a:noFill/>
        <a:ln w="25400">
          <a:noFill/>
        </a:ln>
        <a:effectLst/>
        <a:sp3d/>
      </c:spPr>
    </c:backWall>
    <c:plotArea>
      <c:layout/>
      <c:bar3DChart>
        <c:barDir val="bar"/>
        <c:grouping val="percentStacked"/>
        <c:varyColors val="0"/>
        <c:ser>
          <c:idx val="0"/>
          <c:order val="0"/>
          <c:tx>
            <c:strRef>
              <c:f>Sheet12!$AE$20</c:f>
              <c:strCache>
                <c:ptCount val="1"/>
                <c:pt idx="0">
                  <c:v>Sum of GDP_Growth_Rate_Percent</c:v>
                </c:pt>
              </c:strCache>
            </c:strRef>
          </c:tx>
          <c:spPr>
            <a:solidFill>
              <a:schemeClr val="accent1"/>
            </a:solidFill>
            <a:ln>
              <a:noFill/>
            </a:ln>
            <a:effectLst/>
            <a:sp3d/>
          </c:spPr>
          <c:invertIfNegative val="0"/>
          <c:cat>
            <c:strRef>
              <c:f>Sheet12!$AD$21:$AD$60</c:f>
              <c:strCache>
                <c:ptCount val="39"/>
                <c:pt idx="0">
                  <c:v>Argentina</c:v>
                </c:pt>
                <c:pt idx="1">
                  <c:v>Australia</c:v>
                </c:pt>
                <c:pt idx="2">
                  <c:v>Brazil</c:v>
                </c:pt>
                <c:pt idx="3">
                  <c:v>Canada</c:v>
                </c:pt>
                <c:pt idx="4">
                  <c:v>Chile</c:v>
                </c:pt>
                <c:pt idx="5">
                  <c:v>China</c:v>
                </c:pt>
                <c:pt idx="6">
                  <c:v>Colombia</c:v>
                </c:pt>
                <c:pt idx="7">
                  <c:v>Denmark</c:v>
                </c:pt>
                <c:pt idx="8">
                  <c:v>Egypt</c:v>
                </c:pt>
                <c:pt idx="9">
                  <c:v>France</c:v>
                </c:pt>
                <c:pt idx="10">
                  <c:v>Germany</c:v>
                </c:pt>
                <c:pt idx="11">
                  <c:v>Hong Kong</c:v>
                </c:pt>
                <c:pt idx="12">
                  <c:v>India</c:v>
                </c:pt>
                <c:pt idx="13">
                  <c:v>Indonesia</c:v>
                </c:pt>
                <c:pt idx="14">
                  <c:v>Israel</c:v>
                </c:pt>
                <c:pt idx="15">
                  <c:v>Italy</c:v>
                </c:pt>
                <c:pt idx="16">
                  <c:v>Japan</c:v>
                </c:pt>
                <c:pt idx="17">
                  <c:v>Malaysia</c:v>
                </c:pt>
                <c:pt idx="18">
                  <c:v>Mexico</c:v>
                </c:pt>
                <c:pt idx="19">
                  <c:v>Netherlands</c:v>
                </c:pt>
                <c:pt idx="20">
                  <c:v>Nigeria</c:v>
                </c:pt>
                <c:pt idx="21">
                  <c:v>Norway</c:v>
                </c:pt>
                <c:pt idx="22">
                  <c:v>Peru</c:v>
                </c:pt>
                <c:pt idx="23">
                  <c:v>Philippines</c:v>
                </c:pt>
                <c:pt idx="24">
                  <c:v>Russia</c:v>
                </c:pt>
                <c:pt idx="25">
                  <c:v>Saudi Arabia</c:v>
                </c:pt>
                <c:pt idx="26">
                  <c:v>Singapore</c:v>
                </c:pt>
                <c:pt idx="27">
                  <c:v>South Africa</c:v>
                </c:pt>
                <c:pt idx="28">
                  <c:v>South Korea</c:v>
                </c:pt>
                <c:pt idx="29">
                  <c:v>Spain</c:v>
                </c:pt>
                <c:pt idx="30">
                  <c:v>Sweden</c:v>
                </c:pt>
                <c:pt idx="31">
                  <c:v>Switzerland</c:v>
                </c:pt>
                <c:pt idx="32">
                  <c:v>Taiwan</c:v>
                </c:pt>
                <c:pt idx="33">
                  <c:v>Thailand</c:v>
                </c:pt>
                <c:pt idx="34">
                  <c:v>Turkey</c:v>
                </c:pt>
                <c:pt idx="35">
                  <c:v>UAE</c:v>
                </c:pt>
                <c:pt idx="36">
                  <c:v>United Kingdom</c:v>
                </c:pt>
                <c:pt idx="37">
                  <c:v>United States</c:v>
                </c:pt>
                <c:pt idx="38">
                  <c:v>Vietnam</c:v>
                </c:pt>
              </c:strCache>
            </c:strRef>
          </c:cat>
          <c:val>
            <c:numRef>
              <c:f>Sheet12!$AE$21:$AE$60</c:f>
              <c:numCache>
                <c:formatCode>General</c:formatCode>
                <c:ptCount val="39"/>
                <c:pt idx="0">
                  <c:v>-1.6</c:v>
                </c:pt>
                <c:pt idx="1">
                  <c:v>1.7</c:v>
                </c:pt>
                <c:pt idx="2">
                  <c:v>2.1</c:v>
                </c:pt>
                <c:pt idx="3">
                  <c:v>2.9</c:v>
                </c:pt>
                <c:pt idx="4">
                  <c:v>2.4</c:v>
                </c:pt>
                <c:pt idx="5">
                  <c:v>5.2</c:v>
                </c:pt>
                <c:pt idx="6">
                  <c:v>1.2</c:v>
                </c:pt>
                <c:pt idx="7">
                  <c:v>1.8</c:v>
                </c:pt>
                <c:pt idx="8">
                  <c:v>2.8</c:v>
                </c:pt>
                <c:pt idx="9">
                  <c:v>1.3</c:v>
                </c:pt>
                <c:pt idx="10">
                  <c:v>0.3</c:v>
                </c:pt>
                <c:pt idx="11">
                  <c:v>3.2</c:v>
                </c:pt>
                <c:pt idx="12">
                  <c:v>6.8</c:v>
                </c:pt>
                <c:pt idx="13">
                  <c:v>5.0999999999999996</c:v>
                </c:pt>
                <c:pt idx="14">
                  <c:v>2</c:v>
                </c:pt>
                <c:pt idx="15">
                  <c:v>0.7</c:v>
                </c:pt>
                <c:pt idx="16">
                  <c:v>0.9</c:v>
                </c:pt>
                <c:pt idx="17">
                  <c:v>4.2</c:v>
                </c:pt>
                <c:pt idx="18">
                  <c:v>2.4</c:v>
                </c:pt>
                <c:pt idx="19">
                  <c:v>0.6</c:v>
                </c:pt>
                <c:pt idx="20">
                  <c:v>3.2</c:v>
                </c:pt>
                <c:pt idx="21">
                  <c:v>2.1</c:v>
                </c:pt>
                <c:pt idx="22">
                  <c:v>2.8</c:v>
                </c:pt>
                <c:pt idx="23">
                  <c:v>5.8</c:v>
                </c:pt>
                <c:pt idx="24">
                  <c:v>-1.9</c:v>
                </c:pt>
                <c:pt idx="25">
                  <c:v>1.1000000000000001</c:v>
                </c:pt>
                <c:pt idx="26">
                  <c:v>2.6</c:v>
                </c:pt>
                <c:pt idx="27">
                  <c:v>0.9</c:v>
                </c:pt>
                <c:pt idx="28">
                  <c:v>3.1</c:v>
                </c:pt>
                <c:pt idx="29">
                  <c:v>2.5</c:v>
                </c:pt>
                <c:pt idx="30">
                  <c:v>0.8</c:v>
                </c:pt>
                <c:pt idx="31">
                  <c:v>1.2</c:v>
                </c:pt>
                <c:pt idx="32">
                  <c:v>3.8</c:v>
                </c:pt>
                <c:pt idx="33">
                  <c:v>2.9</c:v>
                </c:pt>
                <c:pt idx="34">
                  <c:v>3.1</c:v>
                </c:pt>
                <c:pt idx="35">
                  <c:v>3.9</c:v>
                </c:pt>
                <c:pt idx="36">
                  <c:v>1.1000000000000001</c:v>
                </c:pt>
                <c:pt idx="37">
                  <c:v>2.8</c:v>
                </c:pt>
                <c:pt idx="38">
                  <c:v>6.4</c:v>
                </c:pt>
              </c:numCache>
            </c:numRef>
          </c:val>
          <c:extLst>
            <c:ext xmlns:c16="http://schemas.microsoft.com/office/drawing/2014/chart" uri="{C3380CC4-5D6E-409C-BE32-E72D297353CC}">
              <c16:uniqueId val="{00000000-D91E-DA4B-9E59-06856D6B25E3}"/>
            </c:ext>
          </c:extLst>
        </c:ser>
        <c:ser>
          <c:idx val="1"/>
          <c:order val="1"/>
          <c:tx>
            <c:strRef>
              <c:f>Sheet12!$AF$20</c:f>
              <c:strCache>
                <c:ptCount val="1"/>
                <c:pt idx="0">
                  <c:v>Sum of Inflation_Rate_Percent</c:v>
                </c:pt>
              </c:strCache>
            </c:strRef>
          </c:tx>
          <c:spPr>
            <a:solidFill>
              <a:schemeClr val="accent2"/>
            </a:solidFill>
            <a:ln>
              <a:noFill/>
            </a:ln>
            <a:effectLst/>
            <a:sp3d/>
          </c:spPr>
          <c:invertIfNegative val="0"/>
          <c:cat>
            <c:strRef>
              <c:f>Sheet12!$AD$21:$AD$60</c:f>
              <c:strCache>
                <c:ptCount val="39"/>
                <c:pt idx="0">
                  <c:v>Argentina</c:v>
                </c:pt>
                <c:pt idx="1">
                  <c:v>Australia</c:v>
                </c:pt>
                <c:pt idx="2">
                  <c:v>Brazil</c:v>
                </c:pt>
                <c:pt idx="3">
                  <c:v>Canada</c:v>
                </c:pt>
                <c:pt idx="4">
                  <c:v>Chile</c:v>
                </c:pt>
                <c:pt idx="5">
                  <c:v>China</c:v>
                </c:pt>
                <c:pt idx="6">
                  <c:v>Colombia</c:v>
                </c:pt>
                <c:pt idx="7">
                  <c:v>Denmark</c:v>
                </c:pt>
                <c:pt idx="8">
                  <c:v>Egypt</c:v>
                </c:pt>
                <c:pt idx="9">
                  <c:v>France</c:v>
                </c:pt>
                <c:pt idx="10">
                  <c:v>Germany</c:v>
                </c:pt>
                <c:pt idx="11">
                  <c:v>Hong Kong</c:v>
                </c:pt>
                <c:pt idx="12">
                  <c:v>India</c:v>
                </c:pt>
                <c:pt idx="13">
                  <c:v>Indonesia</c:v>
                </c:pt>
                <c:pt idx="14">
                  <c:v>Israel</c:v>
                </c:pt>
                <c:pt idx="15">
                  <c:v>Italy</c:v>
                </c:pt>
                <c:pt idx="16">
                  <c:v>Japan</c:v>
                </c:pt>
                <c:pt idx="17">
                  <c:v>Malaysia</c:v>
                </c:pt>
                <c:pt idx="18">
                  <c:v>Mexico</c:v>
                </c:pt>
                <c:pt idx="19">
                  <c:v>Netherlands</c:v>
                </c:pt>
                <c:pt idx="20">
                  <c:v>Nigeria</c:v>
                </c:pt>
                <c:pt idx="21">
                  <c:v>Norway</c:v>
                </c:pt>
                <c:pt idx="22">
                  <c:v>Peru</c:v>
                </c:pt>
                <c:pt idx="23">
                  <c:v>Philippines</c:v>
                </c:pt>
                <c:pt idx="24">
                  <c:v>Russia</c:v>
                </c:pt>
                <c:pt idx="25">
                  <c:v>Saudi Arabia</c:v>
                </c:pt>
                <c:pt idx="26">
                  <c:v>Singapore</c:v>
                </c:pt>
                <c:pt idx="27">
                  <c:v>South Africa</c:v>
                </c:pt>
                <c:pt idx="28">
                  <c:v>South Korea</c:v>
                </c:pt>
                <c:pt idx="29">
                  <c:v>Spain</c:v>
                </c:pt>
                <c:pt idx="30">
                  <c:v>Sweden</c:v>
                </c:pt>
                <c:pt idx="31">
                  <c:v>Switzerland</c:v>
                </c:pt>
                <c:pt idx="32">
                  <c:v>Taiwan</c:v>
                </c:pt>
                <c:pt idx="33">
                  <c:v>Thailand</c:v>
                </c:pt>
                <c:pt idx="34">
                  <c:v>Turkey</c:v>
                </c:pt>
                <c:pt idx="35">
                  <c:v>UAE</c:v>
                </c:pt>
                <c:pt idx="36">
                  <c:v>United Kingdom</c:v>
                </c:pt>
                <c:pt idx="37">
                  <c:v>United States</c:v>
                </c:pt>
                <c:pt idx="38">
                  <c:v>Vietnam</c:v>
                </c:pt>
              </c:strCache>
            </c:strRef>
          </c:cat>
          <c:val>
            <c:numRef>
              <c:f>Sheet12!$AF$21:$AF$60</c:f>
              <c:numCache>
                <c:formatCode>General</c:formatCode>
                <c:ptCount val="39"/>
                <c:pt idx="0">
                  <c:v>211.4</c:v>
                </c:pt>
                <c:pt idx="1">
                  <c:v>3.8</c:v>
                </c:pt>
                <c:pt idx="2">
                  <c:v>4.5</c:v>
                </c:pt>
                <c:pt idx="3">
                  <c:v>2.8</c:v>
                </c:pt>
                <c:pt idx="4">
                  <c:v>4.0999999999999996</c:v>
                </c:pt>
                <c:pt idx="5">
                  <c:v>0.8</c:v>
                </c:pt>
                <c:pt idx="6">
                  <c:v>7.2</c:v>
                </c:pt>
                <c:pt idx="7">
                  <c:v>1.7</c:v>
                </c:pt>
                <c:pt idx="8">
                  <c:v>33.1</c:v>
                </c:pt>
                <c:pt idx="9">
                  <c:v>2.2999999999999998</c:v>
                </c:pt>
                <c:pt idx="10">
                  <c:v>2.2000000000000002</c:v>
                </c:pt>
                <c:pt idx="11">
                  <c:v>1.8</c:v>
                </c:pt>
                <c:pt idx="12">
                  <c:v>4.9000000000000004</c:v>
                </c:pt>
                <c:pt idx="13">
                  <c:v>2.8</c:v>
                </c:pt>
                <c:pt idx="14">
                  <c:v>2.2999999999999998</c:v>
                </c:pt>
                <c:pt idx="15">
                  <c:v>1</c:v>
                </c:pt>
                <c:pt idx="16">
                  <c:v>2.8</c:v>
                </c:pt>
                <c:pt idx="17">
                  <c:v>2</c:v>
                </c:pt>
                <c:pt idx="18">
                  <c:v>4.7</c:v>
                </c:pt>
                <c:pt idx="19">
                  <c:v>1.1000000000000001</c:v>
                </c:pt>
                <c:pt idx="20">
                  <c:v>21.8</c:v>
                </c:pt>
                <c:pt idx="21">
                  <c:v>3.1</c:v>
                </c:pt>
                <c:pt idx="22">
                  <c:v>2.8</c:v>
                </c:pt>
                <c:pt idx="23">
                  <c:v>3.7</c:v>
                </c:pt>
                <c:pt idx="24">
                  <c:v>7.4</c:v>
                </c:pt>
                <c:pt idx="25">
                  <c:v>-0.4</c:v>
                </c:pt>
                <c:pt idx="26">
                  <c:v>2.4</c:v>
                </c:pt>
                <c:pt idx="27">
                  <c:v>4.7</c:v>
                </c:pt>
                <c:pt idx="28">
                  <c:v>2.4</c:v>
                </c:pt>
                <c:pt idx="29">
                  <c:v>3.2</c:v>
                </c:pt>
                <c:pt idx="30">
                  <c:v>1.9</c:v>
                </c:pt>
                <c:pt idx="31">
                  <c:v>1.4</c:v>
                </c:pt>
                <c:pt idx="32">
                  <c:v>2.1</c:v>
                </c:pt>
                <c:pt idx="33">
                  <c:v>0.4</c:v>
                </c:pt>
                <c:pt idx="34">
                  <c:v>64.8</c:v>
                </c:pt>
                <c:pt idx="35">
                  <c:v>1.9</c:v>
                </c:pt>
                <c:pt idx="36">
                  <c:v>2</c:v>
                </c:pt>
                <c:pt idx="37">
                  <c:v>2.9</c:v>
                </c:pt>
                <c:pt idx="38">
                  <c:v>4.0999999999999996</c:v>
                </c:pt>
              </c:numCache>
            </c:numRef>
          </c:val>
          <c:extLst>
            <c:ext xmlns:c16="http://schemas.microsoft.com/office/drawing/2014/chart" uri="{C3380CC4-5D6E-409C-BE32-E72D297353CC}">
              <c16:uniqueId val="{00000001-D91E-DA4B-9E59-06856D6B25E3}"/>
            </c:ext>
          </c:extLst>
        </c:ser>
        <c:dLbls>
          <c:showLegendKey val="0"/>
          <c:showVal val="0"/>
          <c:showCatName val="0"/>
          <c:showSerName val="0"/>
          <c:showPercent val="0"/>
          <c:showBubbleSize val="0"/>
        </c:dLbls>
        <c:gapWidth val="150"/>
        <c:shape val="box"/>
        <c:axId val="172085599"/>
        <c:axId val="150898527"/>
        <c:axId val="0"/>
      </c:bar3DChart>
      <c:catAx>
        <c:axId val="17208559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898527"/>
        <c:crosses val="autoZero"/>
        <c:auto val="1"/>
        <c:lblAlgn val="ctr"/>
        <c:lblOffset val="100"/>
        <c:noMultiLvlLbl val="0"/>
      </c:catAx>
      <c:valAx>
        <c:axId val="150898527"/>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0855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4"/>
    </mc:Choice>
    <mc:Fallback>
      <c:style val="4"/>
    </mc:Fallback>
  </mc:AlternateContent>
  <c:pivotSource>
    <c:name>[Saravanan Milestone.xlsx]Sheet12!PivotTable12</c:name>
    <c:fmtId val="1"/>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marker>
          <c:symbol val="circle"/>
          <c:size val="6"/>
          <c:spPr>
            <a:solidFill>
              <a:schemeClr val="accent2">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Sheet12!$B$3</c:f>
              <c:strCache>
                <c:ptCount val="1"/>
                <c:pt idx="0">
                  <c:v>Total</c:v>
                </c:pt>
              </c:strCache>
            </c:strRef>
          </c:tx>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invertIfNegative val="0"/>
          <c:cat>
            <c:strRef>
              <c:f>Sheet12!$A$4:$A$43</c:f>
              <c:strCache>
                <c:ptCount val="39"/>
                <c:pt idx="0">
                  <c:v>Argentina</c:v>
                </c:pt>
                <c:pt idx="1">
                  <c:v>Australia</c:v>
                </c:pt>
                <c:pt idx="2">
                  <c:v>Brazil</c:v>
                </c:pt>
                <c:pt idx="3">
                  <c:v>Canada</c:v>
                </c:pt>
                <c:pt idx="4">
                  <c:v>Chile</c:v>
                </c:pt>
                <c:pt idx="5">
                  <c:v>China</c:v>
                </c:pt>
                <c:pt idx="6">
                  <c:v>Colombia</c:v>
                </c:pt>
                <c:pt idx="7">
                  <c:v>Denmark</c:v>
                </c:pt>
                <c:pt idx="8">
                  <c:v>Egypt</c:v>
                </c:pt>
                <c:pt idx="9">
                  <c:v>France</c:v>
                </c:pt>
                <c:pt idx="10">
                  <c:v>Germany</c:v>
                </c:pt>
                <c:pt idx="11">
                  <c:v>Hong Kong</c:v>
                </c:pt>
                <c:pt idx="12">
                  <c:v>India</c:v>
                </c:pt>
                <c:pt idx="13">
                  <c:v>Indonesia</c:v>
                </c:pt>
                <c:pt idx="14">
                  <c:v>Israel</c:v>
                </c:pt>
                <c:pt idx="15">
                  <c:v>Italy</c:v>
                </c:pt>
                <c:pt idx="16">
                  <c:v>Japan</c:v>
                </c:pt>
                <c:pt idx="17">
                  <c:v>Malaysia</c:v>
                </c:pt>
                <c:pt idx="18">
                  <c:v>Mexico</c:v>
                </c:pt>
                <c:pt idx="19">
                  <c:v>Netherlands</c:v>
                </c:pt>
                <c:pt idx="20">
                  <c:v>Nigeria</c:v>
                </c:pt>
                <c:pt idx="21">
                  <c:v>Norway</c:v>
                </c:pt>
                <c:pt idx="22">
                  <c:v>Peru</c:v>
                </c:pt>
                <c:pt idx="23">
                  <c:v>Philippines</c:v>
                </c:pt>
                <c:pt idx="24">
                  <c:v>Russia</c:v>
                </c:pt>
                <c:pt idx="25">
                  <c:v>Saudi Arabia</c:v>
                </c:pt>
                <c:pt idx="26">
                  <c:v>Singapore</c:v>
                </c:pt>
                <c:pt idx="27">
                  <c:v>South Africa</c:v>
                </c:pt>
                <c:pt idx="28">
                  <c:v>South Korea</c:v>
                </c:pt>
                <c:pt idx="29">
                  <c:v>Spain</c:v>
                </c:pt>
                <c:pt idx="30">
                  <c:v>Sweden</c:v>
                </c:pt>
                <c:pt idx="31">
                  <c:v>Switzerland</c:v>
                </c:pt>
                <c:pt idx="32">
                  <c:v>Taiwan</c:v>
                </c:pt>
                <c:pt idx="33">
                  <c:v>Thailand</c:v>
                </c:pt>
                <c:pt idx="34">
                  <c:v>Turkey</c:v>
                </c:pt>
                <c:pt idx="35">
                  <c:v>UAE</c:v>
                </c:pt>
                <c:pt idx="36">
                  <c:v>United Kingdom</c:v>
                </c:pt>
                <c:pt idx="37">
                  <c:v>United States</c:v>
                </c:pt>
                <c:pt idx="38">
                  <c:v>Vietnam</c:v>
                </c:pt>
              </c:strCache>
            </c:strRef>
          </c:cat>
          <c:val>
            <c:numRef>
              <c:f>Sheet12!$B$4:$B$43</c:f>
              <c:numCache>
                <c:formatCode>General</c:formatCode>
                <c:ptCount val="39"/>
                <c:pt idx="0">
                  <c:v>3.45</c:v>
                </c:pt>
                <c:pt idx="1">
                  <c:v>0.22</c:v>
                </c:pt>
                <c:pt idx="2">
                  <c:v>1.67</c:v>
                </c:pt>
                <c:pt idx="3">
                  <c:v>0.45</c:v>
                </c:pt>
                <c:pt idx="4">
                  <c:v>0.67</c:v>
                </c:pt>
                <c:pt idx="5">
                  <c:v>-0.82</c:v>
                </c:pt>
                <c:pt idx="6">
                  <c:v>0.89</c:v>
                </c:pt>
                <c:pt idx="7">
                  <c:v>0.23</c:v>
                </c:pt>
                <c:pt idx="8">
                  <c:v>1.45</c:v>
                </c:pt>
                <c:pt idx="9">
                  <c:v>0.28000000000000003</c:v>
                </c:pt>
                <c:pt idx="10">
                  <c:v>0.67</c:v>
                </c:pt>
                <c:pt idx="11">
                  <c:v>-1.23</c:v>
                </c:pt>
                <c:pt idx="12">
                  <c:v>0.89</c:v>
                </c:pt>
                <c:pt idx="13">
                  <c:v>0.45</c:v>
                </c:pt>
                <c:pt idx="14">
                  <c:v>-0.78</c:v>
                </c:pt>
                <c:pt idx="15">
                  <c:v>0.34</c:v>
                </c:pt>
                <c:pt idx="16">
                  <c:v>1.24</c:v>
                </c:pt>
                <c:pt idx="17">
                  <c:v>0.67</c:v>
                </c:pt>
                <c:pt idx="18">
                  <c:v>0.91</c:v>
                </c:pt>
                <c:pt idx="19">
                  <c:v>0.12</c:v>
                </c:pt>
                <c:pt idx="20">
                  <c:v>2.1</c:v>
                </c:pt>
                <c:pt idx="21">
                  <c:v>0.67</c:v>
                </c:pt>
                <c:pt idx="22">
                  <c:v>1.1200000000000001</c:v>
                </c:pt>
                <c:pt idx="23">
                  <c:v>0.89</c:v>
                </c:pt>
                <c:pt idx="24">
                  <c:v>0.78</c:v>
                </c:pt>
                <c:pt idx="25">
                  <c:v>0.56000000000000005</c:v>
                </c:pt>
                <c:pt idx="26">
                  <c:v>0.56000000000000005</c:v>
                </c:pt>
                <c:pt idx="27">
                  <c:v>0.78</c:v>
                </c:pt>
                <c:pt idx="28">
                  <c:v>-0.34</c:v>
                </c:pt>
                <c:pt idx="29">
                  <c:v>0.67</c:v>
                </c:pt>
                <c:pt idx="30">
                  <c:v>0.45</c:v>
                </c:pt>
                <c:pt idx="31">
                  <c:v>0.28000000000000003</c:v>
                </c:pt>
                <c:pt idx="32">
                  <c:v>0.78</c:v>
                </c:pt>
                <c:pt idx="33">
                  <c:v>0.34</c:v>
                </c:pt>
                <c:pt idx="34">
                  <c:v>2.34</c:v>
                </c:pt>
                <c:pt idx="35">
                  <c:v>0.34</c:v>
                </c:pt>
                <c:pt idx="36">
                  <c:v>-0.15</c:v>
                </c:pt>
                <c:pt idx="37">
                  <c:v>0.34</c:v>
                </c:pt>
                <c:pt idx="38">
                  <c:v>1.23</c:v>
                </c:pt>
              </c:numCache>
            </c:numRef>
          </c:val>
          <c:extLst>
            <c:ext xmlns:c16="http://schemas.microsoft.com/office/drawing/2014/chart" uri="{C3380CC4-5D6E-409C-BE32-E72D297353CC}">
              <c16:uniqueId val="{00000000-3656-424F-B25B-1B2E53742858}"/>
            </c:ext>
          </c:extLst>
        </c:ser>
        <c:dLbls>
          <c:showLegendKey val="0"/>
          <c:showVal val="0"/>
          <c:showCatName val="0"/>
          <c:showSerName val="0"/>
          <c:showPercent val="0"/>
          <c:showBubbleSize val="0"/>
        </c:dLbls>
        <c:gapWidth val="65"/>
        <c:shape val="box"/>
        <c:axId val="123654431"/>
        <c:axId val="122749263"/>
        <c:axId val="0"/>
      </c:bar3DChart>
      <c:catAx>
        <c:axId val="123654431"/>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22749263"/>
        <c:crosses val="autoZero"/>
        <c:auto val="1"/>
        <c:lblAlgn val="ctr"/>
        <c:lblOffset val="100"/>
        <c:noMultiLvlLbl val="0"/>
      </c:catAx>
      <c:valAx>
        <c:axId val="122749263"/>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23654431"/>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[Saravanan Milestone.xlsx]Sheet12!PivotTable13</c:name>
    <c:fmtId val="4"/>
  </c:pivotSource>
  <c:chart>
    <c:title>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a:sp3d contourW="9525">
            <a:contourClr>
              <a:schemeClr val="accent1">
                <a:shade val="95000"/>
              </a:schemeClr>
            </a:contourClr>
          </a:sp3d>
        </c:spPr>
        <c:marker>
          <c:symbol val="circle"/>
          <c:size val="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line3DChart>
        <c:grouping val="standard"/>
        <c:varyColors val="0"/>
        <c:ser>
          <c:idx val="0"/>
          <c:order val="0"/>
          <c:tx>
            <c:strRef>
              <c:f>Sheet12!$O$7</c:f>
              <c:strCache>
                <c:ptCount val="1"/>
                <c:pt idx="0">
                  <c:v>Total</c:v>
                </c:pt>
              </c:strCache>
            </c:strRef>
          </c:tx>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a:sp3d contourW="9525">
              <a:contourClr>
                <a:schemeClr val="accent1">
                  <a:shade val="95000"/>
                </a:schemeClr>
              </a:contourClr>
            </a:sp3d>
          </c:spPr>
          <c:cat>
            <c:strRef>
              <c:f>Sheet12!$N$8:$N$47</c:f>
              <c:strCache>
                <c:ptCount val="39"/>
                <c:pt idx="0">
                  <c:v>Argentina</c:v>
                </c:pt>
                <c:pt idx="1">
                  <c:v>Australia</c:v>
                </c:pt>
                <c:pt idx="2">
                  <c:v>Brazil</c:v>
                </c:pt>
                <c:pt idx="3">
                  <c:v>Canada</c:v>
                </c:pt>
                <c:pt idx="4">
                  <c:v>Chile</c:v>
                </c:pt>
                <c:pt idx="5">
                  <c:v>China</c:v>
                </c:pt>
                <c:pt idx="6">
                  <c:v>Colombia</c:v>
                </c:pt>
                <c:pt idx="7">
                  <c:v>Denmark</c:v>
                </c:pt>
                <c:pt idx="8">
                  <c:v>Egypt</c:v>
                </c:pt>
                <c:pt idx="9">
                  <c:v>France</c:v>
                </c:pt>
                <c:pt idx="10">
                  <c:v>Germany</c:v>
                </c:pt>
                <c:pt idx="11">
                  <c:v>Hong Kong</c:v>
                </c:pt>
                <c:pt idx="12">
                  <c:v>India</c:v>
                </c:pt>
                <c:pt idx="13">
                  <c:v>Indonesia</c:v>
                </c:pt>
                <c:pt idx="14">
                  <c:v>Israel</c:v>
                </c:pt>
                <c:pt idx="15">
                  <c:v>Italy</c:v>
                </c:pt>
                <c:pt idx="16">
                  <c:v>Japan</c:v>
                </c:pt>
                <c:pt idx="17">
                  <c:v>Malaysia</c:v>
                </c:pt>
                <c:pt idx="18">
                  <c:v>Mexico</c:v>
                </c:pt>
                <c:pt idx="19">
                  <c:v>Netherlands</c:v>
                </c:pt>
                <c:pt idx="20">
                  <c:v>Nigeria</c:v>
                </c:pt>
                <c:pt idx="21">
                  <c:v>Norway</c:v>
                </c:pt>
                <c:pt idx="22">
                  <c:v>Peru</c:v>
                </c:pt>
                <c:pt idx="23">
                  <c:v>Philippines</c:v>
                </c:pt>
                <c:pt idx="24">
                  <c:v>Russia</c:v>
                </c:pt>
                <c:pt idx="25">
                  <c:v>Saudi Arabia</c:v>
                </c:pt>
                <c:pt idx="26">
                  <c:v>Singapore</c:v>
                </c:pt>
                <c:pt idx="27">
                  <c:v>South Africa</c:v>
                </c:pt>
                <c:pt idx="28">
                  <c:v>South Korea</c:v>
                </c:pt>
                <c:pt idx="29">
                  <c:v>Spain</c:v>
                </c:pt>
                <c:pt idx="30">
                  <c:v>Sweden</c:v>
                </c:pt>
                <c:pt idx="31">
                  <c:v>Switzerland</c:v>
                </c:pt>
                <c:pt idx="32">
                  <c:v>Taiwan</c:v>
                </c:pt>
                <c:pt idx="33">
                  <c:v>Thailand</c:v>
                </c:pt>
                <c:pt idx="34">
                  <c:v>Turkey</c:v>
                </c:pt>
                <c:pt idx="35">
                  <c:v>UAE</c:v>
                </c:pt>
                <c:pt idx="36">
                  <c:v>United Kingdom</c:v>
                </c:pt>
                <c:pt idx="37">
                  <c:v>United States</c:v>
                </c:pt>
                <c:pt idx="38">
                  <c:v>Vietnam</c:v>
                </c:pt>
              </c:strCache>
            </c:strRef>
          </c:cat>
          <c:val>
            <c:numRef>
              <c:f>Sheet12!$O$8:$O$47</c:f>
              <c:numCache>
                <c:formatCode>General</c:formatCode>
                <c:ptCount val="39"/>
                <c:pt idx="0">
                  <c:v>0.05</c:v>
                </c:pt>
                <c:pt idx="1">
                  <c:v>1.8</c:v>
                </c:pt>
                <c:pt idx="2">
                  <c:v>1.4</c:v>
                </c:pt>
                <c:pt idx="3">
                  <c:v>2.8</c:v>
                </c:pt>
                <c:pt idx="4">
                  <c:v>0.2</c:v>
                </c:pt>
                <c:pt idx="5">
                  <c:v>12.4</c:v>
                </c:pt>
                <c:pt idx="6">
                  <c:v>0.1</c:v>
                </c:pt>
                <c:pt idx="7">
                  <c:v>0.4</c:v>
                </c:pt>
                <c:pt idx="8">
                  <c:v>0.03</c:v>
                </c:pt>
                <c:pt idx="9">
                  <c:v>3</c:v>
                </c:pt>
                <c:pt idx="10">
                  <c:v>2.9</c:v>
                </c:pt>
                <c:pt idx="11">
                  <c:v>4.2</c:v>
                </c:pt>
                <c:pt idx="12">
                  <c:v>4.3</c:v>
                </c:pt>
                <c:pt idx="13">
                  <c:v>0.7</c:v>
                </c:pt>
                <c:pt idx="14">
                  <c:v>0.4</c:v>
                </c:pt>
                <c:pt idx="15">
                  <c:v>0.9</c:v>
                </c:pt>
                <c:pt idx="16">
                  <c:v>6.8</c:v>
                </c:pt>
                <c:pt idx="17">
                  <c:v>0.5</c:v>
                </c:pt>
                <c:pt idx="18">
                  <c:v>0.7</c:v>
                </c:pt>
                <c:pt idx="19">
                  <c:v>1.1000000000000001</c:v>
                </c:pt>
                <c:pt idx="20">
                  <c:v>0.04</c:v>
                </c:pt>
                <c:pt idx="21">
                  <c:v>0.4</c:v>
                </c:pt>
                <c:pt idx="22">
                  <c:v>0.08</c:v>
                </c:pt>
                <c:pt idx="23">
                  <c:v>0.3</c:v>
                </c:pt>
                <c:pt idx="24">
                  <c:v>0.6</c:v>
                </c:pt>
                <c:pt idx="25">
                  <c:v>2.8</c:v>
                </c:pt>
                <c:pt idx="26">
                  <c:v>0.8</c:v>
                </c:pt>
                <c:pt idx="27">
                  <c:v>0.4</c:v>
                </c:pt>
                <c:pt idx="28">
                  <c:v>1.9</c:v>
                </c:pt>
                <c:pt idx="29">
                  <c:v>0.8</c:v>
                </c:pt>
                <c:pt idx="30">
                  <c:v>0.7</c:v>
                </c:pt>
                <c:pt idx="31">
                  <c:v>1.8</c:v>
                </c:pt>
                <c:pt idx="32">
                  <c:v>2.1</c:v>
                </c:pt>
                <c:pt idx="33">
                  <c:v>0.6</c:v>
                </c:pt>
                <c:pt idx="34">
                  <c:v>0.3</c:v>
                </c:pt>
                <c:pt idx="35">
                  <c:v>0.7</c:v>
                </c:pt>
                <c:pt idx="36">
                  <c:v>3.1</c:v>
                </c:pt>
                <c:pt idx="37">
                  <c:v>51.2</c:v>
                </c:pt>
                <c:pt idx="38">
                  <c:v>0.3</c:v>
                </c:pt>
              </c:numCache>
            </c:numRef>
          </c:val>
          <c:smooth val="0"/>
          <c:extLst>
            <c:ext xmlns:c16="http://schemas.microsoft.com/office/drawing/2014/chart" uri="{C3380CC4-5D6E-409C-BE32-E72D297353CC}">
              <c16:uniqueId val="{00000000-30F0-7440-8C30-961937490BD8}"/>
            </c:ext>
          </c:extLst>
        </c:ser>
        <c:dLbls>
          <c:showLegendKey val="0"/>
          <c:showVal val="0"/>
          <c:showCatName val="0"/>
          <c:showSerName val="0"/>
          <c:showPercent val="0"/>
          <c:showBubbleSize val="0"/>
        </c:dLbls>
        <c:axId val="135774175"/>
        <c:axId val="86242623"/>
        <c:axId val="140669519"/>
      </c:line3DChart>
      <c:catAx>
        <c:axId val="1357741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86242623"/>
        <c:crosses val="autoZero"/>
        <c:auto val="1"/>
        <c:lblAlgn val="ctr"/>
        <c:lblOffset val="100"/>
        <c:noMultiLvlLbl val="0"/>
      </c:catAx>
      <c:valAx>
        <c:axId val="862426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35774175"/>
        <c:crosses val="autoZero"/>
        <c:crossBetween val="between"/>
      </c:valAx>
      <c:serAx>
        <c:axId val="140669519"/>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86242623"/>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[Saravanan Milestone.xlsx]Sheet12!PivotTable15</c:name>
    <c:fmtId val="10"/>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w="25400">
          <a:noFill/>
        </a:ln>
        <a:effectLst/>
        <a:sp3d/>
      </c:spPr>
    </c:sideWall>
    <c:backWall>
      <c:thickness val="0"/>
      <c:spPr>
        <a:noFill/>
        <a:ln w="25400">
          <a:noFill/>
        </a:ln>
        <a:effectLst/>
        <a:sp3d/>
      </c:spPr>
    </c:backWall>
    <c:plotArea>
      <c:layout/>
      <c:bar3DChart>
        <c:barDir val="bar"/>
        <c:grouping val="percentStacked"/>
        <c:varyColors val="0"/>
        <c:ser>
          <c:idx val="0"/>
          <c:order val="0"/>
          <c:tx>
            <c:strRef>
              <c:f>Sheet12!$AE$20</c:f>
              <c:strCache>
                <c:ptCount val="1"/>
                <c:pt idx="0">
                  <c:v>Sum of GDP_Growth_Rate_Percent</c:v>
                </c:pt>
              </c:strCache>
            </c:strRef>
          </c:tx>
          <c:spPr>
            <a:solidFill>
              <a:schemeClr val="accent1"/>
            </a:solidFill>
            <a:ln>
              <a:noFill/>
            </a:ln>
            <a:effectLst/>
            <a:sp3d/>
          </c:spPr>
          <c:invertIfNegative val="0"/>
          <c:cat>
            <c:strRef>
              <c:f>Sheet12!$AD$21:$AD$60</c:f>
              <c:strCache>
                <c:ptCount val="39"/>
                <c:pt idx="0">
                  <c:v>Argentina</c:v>
                </c:pt>
                <c:pt idx="1">
                  <c:v>Australia</c:v>
                </c:pt>
                <c:pt idx="2">
                  <c:v>Brazil</c:v>
                </c:pt>
                <c:pt idx="3">
                  <c:v>Canada</c:v>
                </c:pt>
                <c:pt idx="4">
                  <c:v>Chile</c:v>
                </c:pt>
                <c:pt idx="5">
                  <c:v>China</c:v>
                </c:pt>
                <c:pt idx="6">
                  <c:v>Colombia</c:v>
                </c:pt>
                <c:pt idx="7">
                  <c:v>Denmark</c:v>
                </c:pt>
                <c:pt idx="8">
                  <c:v>Egypt</c:v>
                </c:pt>
                <c:pt idx="9">
                  <c:v>France</c:v>
                </c:pt>
                <c:pt idx="10">
                  <c:v>Germany</c:v>
                </c:pt>
                <c:pt idx="11">
                  <c:v>Hong Kong</c:v>
                </c:pt>
                <c:pt idx="12">
                  <c:v>India</c:v>
                </c:pt>
                <c:pt idx="13">
                  <c:v>Indonesia</c:v>
                </c:pt>
                <c:pt idx="14">
                  <c:v>Israel</c:v>
                </c:pt>
                <c:pt idx="15">
                  <c:v>Italy</c:v>
                </c:pt>
                <c:pt idx="16">
                  <c:v>Japan</c:v>
                </c:pt>
                <c:pt idx="17">
                  <c:v>Malaysia</c:v>
                </c:pt>
                <c:pt idx="18">
                  <c:v>Mexico</c:v>
                </c:pt>
                <c:pt idx="19">
                  <c:v>Netherlands</c:v>
                </c:pt>
                <c:pt idx="20">
                  <c:v>Nigeria</c:v>
                </c:pt>
                <c:pt idx="21">
                  <c:v>Norway</c:v>
                </c:pt>
                <c:pt idx="22">
                  <c:v>Peru</c:v>
                </c:pt>
                <c:pt idx="23">
                  <c:v>Philippines</c:v>
                </c:pt>
                <c:pt idx="24">
                  <c:v>Russia</c:v>
                </c:pt>
                <c:pt idx="25">
                  <c:v>Saudi Arabia</c:v>
                </c:pt>
                <c:pt idx="26">
                  <c:v>Singapore</c:v>
                </c:pt>
                <c:pt idx="27">
                  <c:v>South Africa</c:v>
                </c:pt>
                <c:pt idx="28">
                  <c:v>South Korea</c:v>
                </c:pt>
                <c:pt idx="29">
                  <c:v>Spain</c:v>
                </c:pt>
                <c:pt idx="30">
                  <c:v>Sweden</c:v>
                </c:pt>
                <c:pt idx="31">
                  <c:v>Switzerland</c:v>
                </c:pt>
                <c:pt idx="32">
                  <c:v>Taiwan</c:v>
                </c:pt>
                <c:pt idx="33">
                  <c:v>Thailand</c:v>
                </c:pt>
                <c:pt idx="34">
                  <c:v>Turkey</c:v>
                </c:pt>
                <c:pt idx="35">
                  <c:v>UAE</c:v>
                </c:pt>
                <c:pt idx="36">
                  <c:v>United Kingdom</c:v>
                </c:pt>
                <c:pt idx="37">
                  <c:v>United States</c:v>
                </c:pt>
                <c:pt idx="38">
                  <c:v>Vietnam</c:v>
                </c:pt>
              </c:strCache>
            </c:strRef>
          </c:cat>
          <c:val>
            <c:numRef>
              <c:f>Sheet12!$AE$21:$AE$60</c:f>
              <c:numCache>
                <c:formatCode>General</c:formatCode>
                <c:ptCount val="39"/>
                <c:pt idx="0">
                  <c:v>-1.6</c:v>
                </c:pt>
                <c:pt idx="1">
                  <c:v>1.7</c:v>
                </c:pt>
                <c:pt idx="2">
                  <c:v>2.1</c:v>
                </c:pt>
                <c:pt idx="3">
                  <c:v>2.9</c:v>
                </c:pt>
                <c:pt idx="4">
                  <c:v>2.4</c:v>
                </c:pt>
                <c:pt idx="5">
                  <c:v>5.2</c:v>
                </c:pt>
                <c:pt idx="6">
                  <c:v>1.2</c:v>
                </c:pt>
                <c:pt idx="7">
                  <c:v>1.8</c:v>
                </c:pt>
                <c:pt idx="8">
                  <c:v>2.8</c:v>
                </c:pt>
                <c:pt idx="9">
                  <c:v>1.3</c:v>
                </c:pt>
                <c:pt idx="10">
                  <c:v>0.3</c:v>
                </c:pt>
                <c:pt idx="11">
                  <c:v>3.2</c:v>
                </c:pt>
                <c:pt idx="12">
                  <c:v>6.8</c:v>
                </c:pt>
                <c:pt idx="13">
                  <c:v>5.0999999999999996</c:v>
                </c:pt>
                <c:pt idx="14">
                  <c:v>2</c:v>
                </c:pt>
                <c:pt idx="15">
                  <c:v>0.7</c:v>
                </c:pt>
                <c:pt idx="16">
                  <c:v>0.9</c:v>
                </c:pt>
                <c:pt idx="17">
                  <c:v>4.2</c:v>
                </c:pt>
                <c:pt idx="18">
                  <c:v>2.4</c:v>
                </c:pt>
                <c:pt idx="19">
                  <c:v>0.6</c:v>
                </c:pt>
                <c:pt idx="20">
                  <c:v>3.2</c:v>
                </c:pt>
                <c:pt idx="21">
                  <c:v>2.1</c:v>
                </c:pt>
                <c:pt idx="22">
                  <c:v>2.8</c:v>
                </c:pt>
                <c:pt idx="23">
                  <c:v>5.8</c:v>
                </c:pt>
                <c:pt idx="24">
                  <c:v>-1.9</c:v>
                </c:pt>
                <c:pt idx="25">
                  <c:v>1.1000000000000001</c:v>
                </c:pt>
                <c:pt idx="26">
                  <c:v>2.6</c:v>
                </c:pt>
                <c:pt idx="27">
                  <c:v>0.9</c:v>
                </c:pt>
                <c:pt idx="28">
                  <c:v>3.1</c:v>
                </c:pt>
                <c:pt idx="29">
                  <c:v>2.5</c:v>
                </c:pt>
                <c:pt idx="30">
                  <c:v>0.8</c:v>
                </c:pt>
                <c:pt idx="31">
                  <c:v>1.2</c:v>
                </c:pt>
                <c:pt idx="32">
                  <c:v>3.8</c:v>
                </c:pt>
                <c:pt idx="33">
                  <c:v>2.9</c:v>
                </c:pt>
                <c:pt idx="34">
                  <c:v>3.1</c:v>
                </c:pt>
                <c:pt idx="35">
                  <c:v>3.9</c:v>
                </c:pt>
                <c:pt idx="36">
                  <c:v>1.1000000000000001</c:v>
                </c:pt>
                <c:pt idx="37">
                  <c:v>2.8</c:v>
                </c:pt>
                <c:pt idx="38">
                  <c:v>6.4</c:v>
                </c:pt>
              </c:numCache>
            </c:numRef>
          </c:val>
          <c:extLst>
            <c:ext xmlns:c16="http://schemas.microsoft.com/office/drawing/2014/chart" uri="{C3380CC4-5D6E-409C-BE32-E72D297353CC}">
              <c16:uniqueId val="{00000000-F3AF-2C4E-B713-F7BA53A5E8BA}"/>
            </c:ext>
          </c:extLst>
        </c:ser>
        <c:ser>
          <c:idx val="1"/>
          <c:order val="1"/>
          <c:tx>
            <c:strRef>
              <c:f>Sheet12!$AF$20</c:f>
              <c:strCache>
                <c:ptCount val="1"/>
                <c:pt idx="0">
                  <c:v>Sum of Inflation_Rate_Percent</c:v>
                </c:pt>
              </c:strCache>
            </c:strRef>
          </c:tx>
          <c:spPr>
            <a:solidFill>
              <a:schemeClr val="accent2"/>
            </a:solidFill>
            <a:ln>
              <a:noFill/>
            </a:ln>
            <a:effectLst/>
            <a:sp3d/>
          </c:spPr>
          <c:invertIfNegative val="0"/>
          <c:cat>
            <c:strRef>
              <c:f>Sheet12!$AD$21:$AD$60</c:f>
              <c:strCache>
                <c:ptCount val="39"/>
                <c:pt idx="0">
                  <c:v>Argentina</c:v>
                </c:pt>
                <c:pt idx="1">
                  <c:v>Australia</c:v>
                </c:pt>
                <c:pt idx="2">
                  <c:v>Brazil</c:v>
                </c:pt>
                <c:pt idx="3">
                  <c:v>Canada</c:v>
                </c:pt>
                <c:pt idx="4">
                  <c:v>Chile</c:v>
                </c:pt>
                <c:pt idx="5">
                  <c:v>China</c:v>
                </c:pt>
                <c:pt idx="6">
                  <c:v>Colombia</c:v>
                </c:pt>
                <c:pt idx="7">
                  <c:v>Denmark</c:v>
                </c:pt>
                <c:pt idx="8">
                  <c:v>Egypt</c:v>
                </c:pt>
                <c:pt idx="9">
                  <c:v>France</c:v>
                </c:pt>
                <c:pt idx="10">
                  <c:v>Germany</c:v>
                </c:pt>
                <c:pt idx="11">
                  <c:v>Hong Kong</c:v>
                </c:pt>
                <c:pt idx="12">
                  <c:v>India</c:v>
                </c:pt>
                <c:pt idx="13">
                  <c:v>Indonesia</c:v>
                </c:pt>
                <c:pt idx="14">
                  <c:v>Israel</c:v>
                </c:pt>
                <c:pt idx="15">
                  <c:v>Italy</c:v>
                </c:pt>
                <c:pt idx="16">
                  <c:v>Japan</c:v>
                </c:pt>
                <c:pt idx="17">
                  <c:v>Malaysia</c:v>
                </c:pt>
                <c:pt idx="18">
                  <c:v>Mexico</c:v>
                </c:pt>
                <c:pt idx="19">
                  <c:v>Netherlands</c:v>
                </c:pt>
                <c:pt idx="20">
                  <c:v>Nigeria</c:v>
                </c:pt>
                <c:pt idx="21">
                  <c:v>Norway</c:v>
                </c:pt>
                <c:pt idx="22">
                  <c:v>Peru</c:v>
                </c:pt>
                <c:pt idx="23">
                  <c:v>Philippines</c:v>
                </c:pt>
                <c:pt idx="24">
                  <c:v>Russia</c:v>
                </c:pt>
                <c:pt idx="25">
                  <c:v>Saudi Arabia</c:v>
                </c:pt>
                <c:pt idx="26">
                  <c:v>Singapore</c:v>
                </c:pt>
                <c:pt idx="27">
                  <c:v>South Africa</c:v>
                </c:pt>
                <c:pt idx="28">
                  <c:v>South Korea</c:v>
                </c:pt>
                <c:pt idx="29">
                  <c:v>Spain</c:v>
                </c:pt>
                <c:pt idx="30">
                  <c:v>Sweden</c:v>
                </c:pt>
                <c:pt idx="31">
                  <c:v>Switzerland</c:v>
                </c:pt>
                <c:pt idx="32">
                  <c:v>Taiwan</c:v>
                </c:pt>
                <c:pt idx="33">
                  <c:v>Thailand</c:v>
                </c:pt>
                <c:pt idx="34">
                  <c:v>Turkey</c:v>
                </c:pt>
                <c:pt idx="35">
                  <c:v>UAE</c:v>
                </c:pt>
                <c:pt idx="36">
                  <c:v>United Kingdom</c:v>
                </c:pt>
                <c:pt idx="37">
                  <c:v>United States</c:v>
                </c:pt>
                <c:pt idx="38">
                  <c:v>Vietnam</c:v>
                </c:pt>
              </c:strCache>
            </c:strRef>
          </c:cat>
          <c:val>
            <c:numRef>
              <c:f>Sheet12!$AF$21:$AF$60</c:f>
              <c:numCache>
                <c:formatCode>General</c:formatCode>
                <c:ptCount val="39"/>
                <c:pt idx="0">
                  <c:v>211.4</c:v>
                </c:pt>
                <c:pt idx="1">
                  <c:v>3.8</c:v>
                </c:pt>
                <c:pt idx="2">
                  <c:v>4.5</c:v>
                </c:pt>
                <c:pt idx="3">
                  <c:v>2.8</c:v>
                </c:pt>
                <c:pt idx="4">
                  <c:v>4.0999999999999996</c:v>
                </c:pt>
                <c:pt idx="5">
                  <c:v>0.8</c:v>
                </c:pt>
                <c:pt idx="6">
                  <c:v>7.2</c:v>
                </c:pt>
                <c:pt idx="7">
                  <c:v>1.7</c:v>
                </c:pt>
                <c:pt idx="8">
                  <c:v>33.1</c:v>
                </c:pt>
                <c:pt idx="9">
                  <c:v>2.2999999999999998</c:v>
                </c:pt>
                <c:pt idx="10">
                  <c:v>2.2000000000000002</c:v>
                </c:pt>
                <c:pt idx="11">
                  <c:v>1.8</c:v>
                </c:pt>
                <c:pt idx="12">
                  <c:v>4.9000000000000004</c:v>
                </c:pt>
                <c:pt idx="13">
                  <c:v>2.8</c:v>
                </c:pt>
                <c:pt idx="14">
                  <c:v>2.2999999999999998</c:v>
                </c:pt>
                <c:pt idx="15">
                  <c:v>1</c:v>
                </c:pt>
                <c:pt idx="16">
                  <c:v>2.8</c:v>
                </c:pt>
                <c:pt idx="17">
                  <c:v>2</c:v>
                </c:pt>
                <c:pt idx="18">
                  <c:v>4.7</c:v>
                </c:pt>
                <c:pt idx="19">
                  <c:v>1.1000000000000001</c:v>
                </c:pt>
                <c:pt idx="20">
                  <c:v>21.8</c:v>
                </c:pt>
                <c:pt idx="21">
                  <c:v>3.1</c:v>
                </c:pt>
                <c:pt idx="22">
                  <c:v>2.8</c:v>
                </c:pt>
                <c:pt idx="23">
                  <c:v>3.7</c:v>
                </c:pt>
                <c:pt idx="24">
                  <c:v>7.4</c:v>
                </c:pt>
                <c:pt idx="25">
                  <c:v>-0.4</c:v>
                </c:pt>
                <c:pt idx="26">
                  <c:v>2.4</c:v>
                </c:pt>
                <c:pt idx="27">
                  <c:v>4.7</c:v>
                </c:pt>
                <c:pt idx="28">
                  <c:v>2.4</c:v>
                </c:pt>
                <c:pt idx="29">
                  <c:v>3.2</c:v>
                </c:pt>
                <c:pt idx="30">
                  <c:v>1.9</c:v>
                </c:pt>
                <c:pt idx="31">
                  <c:v>1.4</c:v>
                </c:pt>
                <c:pt idx="32">
                  <c:v>2.1</c:v>
                </c:pt>
                <c:pt idx="33">
                  <c:v>0.4</c:v>
                </c:pt>
                <c:pt idx="34">
                  <c:v>64.8</c:v>
                </c:pt>
                <c:pt idx="35">
                  <c:v>1.9</c:v>
                </c:pt>
                <c:pt idx="36">
                  <c:v>2</c:v>
                </c:pt>
                <c:pt idx="37">
                  <c:v>2.9</c:v>
                </c:pt>
                <c:pt idx="38">
                  <c:v>4.0999999999999996</c:v>
                </c:pt>
              </c:numCache>
            </c:numRef>
          </c:val>
          <c:extLst>
            <c:ext xmlns:c16="http://schemas.microsoft.com/office/drawing/2014/chart" uri="{C3380CC4-5D6E-409C-BE32-E72D297353CC}">
              <c16:uniqueId val="{00000001-F3AF-2C4E-B713-F7BA53A5E8BA}"/>
            </c:ext>
          </c:extLst>
        </c:ser>
        <c:dLbls>
          <c:showLegendKey val="0"/>
          <c:showVal val="0"/>
          <c:showCatName val="0"/>
          <c:showSerName val="0"/>
          <c:showPercent val="0"/>
          <c:showBubbleSize val="0"/>
        </c:dLbls>
        <c:gapWidth val="150"/>
        <c:shape val="box"/>
        <c:axId val="172085599"/>
        <c:axId val="150898527"/>
        <c:axId val="0"/>
      </c:bar3DChart>
      <c:catAx>
        <c:axId val="17208559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898527"/>
        <c:crosses val="autoZero"/>
        <c:auto val="1"/>
        <c:lblAlgn val="ctr"/>
        <c:lblOffset val="100"/>
        <c:noMultiLvlLbl val="0"/>
      </c:catAx>
      <c:valAx>
        <c:axId val="150898527"/>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0855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[Saravanan Milestone.xlsx]Sheet12!PivotTable15</c:name>
    <c:fmtId val="1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Sheet12!$AE$20</c:f>
              <c:strCache>
                <c:ptCount val="1"/>
                <c:pt idx="0">
                  <c:v>Sum of GDP_Growth_Rate_Percent</c:v>
                </c:pt>
              </c:strCache>
            </c:strRef>
          </c:tx>
          <c:dPt>
            <c:idx val="0"/>
            <c:bubble3D val="0"/>
            <c:spPr>
              <a:solidFill>
                <a:schemeClr val="accent1"/>
              </a:solidFill>
              <a:ln w="25400">
                <a:solidFill>
                  <a:schemeClr val="lt1"/>
                </a:solidFill>
              </a:ln>
              <a:effectLst/>
              <a:sp3d contourW="25400">
                <a:contourClr>
                  <a:schemeClr val="lt1"/>
                </a:contourClr>
              </a:sp3d>
            </c:spPr>
          </c:dPt>
          <c:dPt>
            <c:idx val="1"/>
            <c:bubble3D val="0"/>
            <c:spPr>
              <a:solidFill>
                <a:schemeClr val="accent2"/>
              </a:solidFill>
              <a:ln w="25400">
                <a:solidFill>
                  <a:schemeClr val="lt1"/>
                </a:solidFill>
              </a:ln>
              <a:effectLst/>
              <a:sp3d contourW="25400">
                <a:contourClr>
                  <a:schemeClr val="lt1"/>
                </a:contourClr>
              </a:sp3d>
            </c:spPr>
          </c:dPt>
          <c:dPt>
            <c:idx val="2"/>
            <c:bubble3D val="0"/>
            <c:spPr>
              <a:solidFill>
                <a:schemeClr val="accent3"/>
              </a:solidFill>
              <a:ln w="25400">
                <a:solidFill>
                  <a:schemeClr val="lt1"/>
                </a:solidFill>
              </a:ln>
              <a:effectLst/>
              <a:sp3d contourW="25400">
                <a:contourClr>
                  <a:schemeClr val="lt1"/>
                </a:contourClr>
              </a:sp3d>
            </c:spPr>
          </c:dPt>
          <c:dPt>
            <c:idx val="3"/>
            <c:bubble3D val="0"/>
            <c:spPr>
              <a:solidFill>
                <a:schemeClr val="accent4"/>
              </a:solidFill>
              <a:ln w="25400">
                <a:solidFill>
                  <a:schemeClr val="lt1"/>
                </a:solidFill>
              </a:ln>
              <a:effectLst/>
              <a:sp3d contourW="25400">
                <a:contourClr>
                  <a:schemeClr val="lt1"/>
                </a:contourClr>
              </a:sp3d>
            </c:spPr>
          </c:dPt>
          <c:dPt>
            <c:idx val="4"/>
            <c:bubble3D val="0"/>
            <c:spPr>
              <a:solidFill>
                <a:schemeClr val="accent5"/>
              </a:solidFill>
              <a:ln w="25400">
                <a:solidFill>
                  <a:schemeClr val="lt1"/>
                </a:solidFill>
              </a:ln>
              <a:effectLst/>
              <a:sp3d contourW="25400">
                <a:contourClr>
                  <a:schemeClr val="lt1"/>
                </a:contourClr>
              </a:sp3d>
            </c:spPr>
          </c:dPt>
          <c:dPt>
            <c:idx val="5"/>
            <c:bubble3D val="0"/>
            <c:spPr>
              <a:solidFill>
                <a:schemeClr val="accent6"/>
              </a:solidFill>
              <a:ln w="25400">
                <a:solidFill>
                  <a:schemeClr val="lt1"/>
                </a:solidFill>
              </a:ln>
              <a:effectLst/>
              <a:sp3d contourW="25400">
                <a:contourClr>
                  <a:schemeClr val="lt1"/>
                </a:contourClr>
              </a:sp3d>
            </c:spPr>
          </c:dPt>
          <c:dPt>
            <c:idx val="6"/>
            <c:bubble3D val="0"/>
            <c:spPr>
              <a:solidFill>
                <a:schemeClr val="accent1">
                  <a:lumMod val="60000"/>
                </a:schemeClr>
              </a:solidFill>
              <a:ln w="25400">
                <a:solidFill>
                  <a:schemeClr val="lt1"/>
                </a:solidFill>
              </a:ln>
              <a:effectLst/>
              <a:sp3d contourW="25400">
                <a:contourClr>
                  <a:schemeClr val="lt1"/>
                </a:contourClr>
              </a:sp3d>
            </c:spPr>
          </c:dPt>
          <c:dPt>
            <c:idx val="7"/>
            <c:bubble3D val="0"/>
            <c:spPr>
              <a:solidFill>
                <a:schemeClr val="accent2">
                  <a:lumMod val="60000"/>
                </a:schemeClr>
              </a:solidFill>
              <a:ln w="25400">
                <a:solidFill>
                  <a:schemeClr val="lt1"/>
                </a:solidFill>
              </a:ln>
              <a:effectLst/>
              <a:sp3d contourW="25400">
                <a:contourClr>
                  <a:schemeClr val="lt1"/>
                </a:contourClr>
              </a:sp3d>
            </c:spPr>
          </c:dPt>
          <c:dPt>
            <c:idx val="8"/>
            <c:bubble3D val="0"/>
            <c:spPr>
              <a:solidFill>
                <a:schemeClr val="accent3">
                  <a:lumMod val="60000"/>
                </a:schemeClr>
              </a:solidFill>
              <a:ln w="25400">
                <a:solidFill>
                  <a:schemeClr val="lt1"/>
                </a:solidFill>
              </a:ln>
              <a:effectLst/>
              <a:sp3d contourW="25400">
                <a:contourClr>
                  <a:schemeClr val="lt1"/>
                </a:contourClr>
              </a:sp3d>
            </c:spPr>
          </c:dPt>
          <c:dPt>
            <c:idx val="9"/>
            <c:bubble3D val="0"/>
            <c:spPr>
              <a:solidFill>
                <a:schemeClr val="accent4">
                  <a:lumMod val="60000"/>
                </a:schemeClr>
              </a:solidFill>
              <a:ln w="25400">
                <a:solidFill>
                  <a:schemeClr val="lt1"/>
                </a:solidFill>
              </a:ln>
              <a:effectLst/>
              <a:sp3d contourW="25400">
                <a:contourClr>
                  <a:schemeClr val="lt1"/>
                </a:contourClr>
              </a:sp3d>
            </c:spPr>
          </c:dPt>
          <c:dPt>
            <c:idx val="10"/>
            <c:bubble3D val="0"/>
            <c:spPr>
              <a:solidFill>
                <a:schemeClr val="accent5">
                  <a:lumMod val="60000"/>
                </a:schemeClr>
              </a:solidFill>
              <a:ln w="25400">
                <a:solidFill>
                  <a:schemeClr val="lt1"/>
                </a:solidFill>
              </a:ln>
              <a:effectLst/>
              <a:sp3d contourW="25400">
                <a:contourClr>
                  <a:schemeClr val="lt1"/>
                </a:contourClr>
              </a:sp3d>
            </c:spPr>
          </c:dPt>
          <c:dPt>
            <c:idx val="11"/>
            <c:bubble3D val="0"/>
            <c:spPr>
              <a:solidFill>
                <a:schemeClr val="accent6">
                  <a:lumMod val="60000"/>
                </a:schemeClr>
              </a:solidFill>
              <a:ln w="25400">
                <a:solidFill>
                  <a:schemeClr val="lt1"/>
                </a:solidFill>
              </a:ln>
              <a:effectLst/>
              <a:sp3d contourW="25400">
                <a:contourClr>
                  <a:schemeClr val="lt1"/>
                </a:contourClr>
              </a:sp3d>
            </c:spPr>
          </c:dPt>
          <c:dPt>
            <c:idx val="12"/>
            <c:bubble3D val="0"/>
            <c:spPr>
              <a:solidFill>
                <a:schemeClr val="accent1">
                  <a:lumMod val="80000"/>
                  <a:lumOff val="20000"/>
                </a:schemeClr>
              </a:solidFill>
              <a:ln w="25400">
                <a:solidFill>
                  <a:schemeClr val="lt1"/>
                </a:solidFill>
              </a:ln>
              <a:effectLst/>
              <a:sp3d contourW="25400">
                <a:contourClr>
                  <a:schemeClr val="lt1"/>
                </a:contourClr>
              </a:sp3d>
            </c:spPr>
          </c:dPt>
          <c:dPt>
            <c:idx val="13"/>
            <c:bubble3D val="0"/>
            <c:spPr>
              <a:solidFill>
                <a:schemeClr val="accent2">
                  <a:lumMod val="80000"/>
                  <a:lumOff val="20000"/>
                </a:schemeClr>
              </a:solidFill>
              <a:ln w="25400">
                <a:solidFill>
                  <a:schemeClr val="lt1"/>
                </a:solidFill>
              </a:ln>
              <a:effectLst/>
              <a:sp3d contourW="25400">
                <a:contourClr>
                  <a:schemeClr val="lt1"/>
                </a:contourClr>
              </a:sp3d>
            </c:spPr>
          </c:dPt>
          <c:dPt>
            <c:idx val="14"/>
            <c:bubble3D val="0"/>
            <c:spPr>
              <a:solidFill>
                <a:schemeClr val="accent3">
                  <a:lumMod val="80000"/>
                  <a:lumOff val="20000"/>
                </a:schemeClr>
              </a:solidFill>
              <a:ln w="25400">
                <a:solidFill>
                  <a:schemeClr val="lt1"/>
                </a:solidFill>
              </a:ln>
              <a:effectLst/>
              <a:sp3d contourW="25400">
                <a:contourClr>
                  <a:schemeClr val="lt1"/>
                </a:contourClr>
              </a:sp3d>
            </c:spPr>
          </c:dPt>
          <c:dPt>
            <c:idx val="15"/>
            <c:bubble3D val="0"/>
            <c:spPr>
              <a:solidFill>
                <a:schemeClr val="accent4">
                  <a:lumMod val="80000"/>
                  <a:lumOff val="20000"/>
                </a:schemeClr>
              </a:solidFill>
              <a:ln w="25400">
                <a:solidFill>
                  <a:schemeClr val="lt1"/>
                </a:solidFill>
              </a:ln>
              <a:effectLst/>
              <a:sp3d contourW="25400">
                <a:contourClr>
                  <a:schemeClr val="lt1"/>
                </a:contourClr>
              </a:sp3d>
            </c:spPr>
          </c:dPt>
          <c:dPt>
            <c:idx val="16"/>
            <c:bubble3D val="0"/>
            <c:spPr>
              <a:solidFill>
                <a:schemeClr val="accent5">
                  <a:lumMod val="80000"/>
                  <a:lumOff val="20000"/>
                </a:schemeClr>
              </a:solidFill>
              <a:ln w="25400">
                <a:solidFill>
                  <a:schemeClr val="lt1"/>
                </a:solidFill>
              </a:ln>
              <a:effectLst/>
              <a:sp3d contourW="25400">
                <a:contourClr>
                  <a:schemeClr val="lt1"/>
                </a:contourClr>
              </a:sp3d>
            </c:spPr>
          </c:dPt>
          <c:dPt>
            <c:idx val="17"/>
            <c:bubble3D val="0"/>
            <c:spPr>
              <a:solidFill>
                <a:schemeClr val="accent6">
                  <a:lumMod val="80000"/>
                  <a:lumOff val="20000"/>
                </a:schemeClr>
              </a:solidFill>
              <a:ln w="25400">
                <a:solidFill>
                  <a:schemeClr val="lt1"/>
                </a:solidFill>
              </a:ln>
              <a:effectLst/>
              <a:sp3d contourW="25400">
                <a:contourClr>
                  <a:schemeClr val="lt1"/>
                </a:contourClr>
              </a:sp3d>
            </c:spPr>
          </c:dPt>
          <c:dPt>
            <c:idx val="18"/>
            <c:bubble3D val="0"/>
            <c:spPr>
              <a:solidFill>
                <a:schemeClr val="accent1">
                  <a:lumMod val="80000"/>
                </a:schemeClr>
              </a:solidFill>
              <a:ln w="25400">
                <a:solidFill>
                  <a:schemeClr val="lt1"/>
                </a:solidFill>
              </a:ln>
              <a:effectLst/>
              <a:sp3d contourW="25400">
                <a:contourClr>
                  <a:schemeClr val="lt1"/>
                </a:contourClr>
              </a:sp3d>
            </c:spPr>
          </c:dPt>
          <c:dPt>
            <c:idx val="19"/>
            <c:bubble3D val="0"/>
            <c:spPr>
              <a:solidFill>
                <a:schemeClr val="accent2">
                  <a:lumMod val="80000"/>
                </a:schemeClr>
              </a:solidFill>
              <a:ln w="25400">
                <a:solidFill>
                  <a:schemeClr val="lt1"/>
                </a:solidFill>
              </a:ln>
              <a:effectLst/>
              <a:sp3d contourW="25400">
                <a:contourClr>
                  <a:schemeClr val="lt1"/>
                </a:contourClr>
              </a:sp3d>
            </c:spPr>
          </c:dPt>
          <c:dPt>
            <c:idx val="20"/>
            <c:bubble3D val="0"/>
            <c:spPr>
              <a:solidFill>
                <a:schemeClr val="accent3">
                  <a:lumMod val="80000"/>
                </a:schemeClr>
              </a:solidFill>
              <a:ln w="25400">
                <a:solidFill>
                  <a:schemeClr val="lt1"/>
                </a:solidFill>
              </a:ln>
              <a:effectLst/>
              <a:sp3d contourW="25400">
                <a:contourClr>
                  <a:schemeClr val="lt1"/>
                </a:contourClr>
              </a:sp3d>
            </c:spPr>
          </c:dPt>
          <c:dPt>
            <c:idx val="21"/>
            <c:bubble3D val="0"/>
            <c:spPr>
              <a:solidFill>
                <a:schemeClr val="accent4">
                  <a:lumMod val="80000"/>
                </a:schemeClr>
              </a:solidFill>
              <a:ln w="25400">
                <a:solidFill>
                  <a:schemeClr val="lt1"/>
                </a:solidFill>
              </a:ln>
              <a:effectLst/>
              <a:sp3d contourW="25400">
                <a:contourClr>
                  <a:schemeClr val="lt1"/>
                </a:contourClr>
              </a:sp3d>
            </c:spPr>
          </c:dPt>
          <c:dPt>
            <c:idx val="22"/>
            <c:bubble3D val="0"/>
            <c:spPr>
              <a:solidFill>
                <a:schemeClr val="accent5">
                  <a:lumMod val="80000"/>
                </a:schemeClr>
              </a:solidFill>
              <a:ln w="25400">
                <a:solidFill>
                  <a:schemeClr val="lt1"/>
                </a:solidFill>
              </a:ln>
              <a:effectLst/>
              <a:sp3d contourW="25400">
                <a:contourClr>
                  <a:schemeClr val="lt1"/>
                </a:contourClr>
              </a:sp3d>
            </c:spPr>
          </c:dPt>
          <c:dPt>
            <c:idx val="23"/>
            <c:bubble3D val="0"/>
            <c:spPr>
              <a:solidFill>
                <a:schemeClr val="accent6">
                  <a:lumMod val="80000"/>
                </a:schemeClr>
              </a:solidFill>
              <a:ln w="25400">
                <a:solidFill>
                  <a:schemeClr val="lt1"/>
                </a:solidFill>
              </a:ln>
              <a:effectLst/>
              <a:sp3d contourW="25400">
                <a:contourClr>
                  <a:schemeClr val="lt1"/>
                </a:contourClr>
              </a:sp3d>
            </c:spPr>
          </c:dPt>
          <c:dPt>
            <c:idx val="24"/>
            <c:bubble3D val="0"/>
            <c:spPr>
              <a:solidFill>
                <a:schemeClr val="accent1">
                  <a:lumMod val="60000"/>
                  <a:lumOff val="40000"/>
                </a:schemeClr>
              </a:solidFill>
              <a:ln w="25400">
                <a:solidFill>
                  <a:schemeClr val="lt1"/>
                </a:solidFill>
              </a:ln>
              <a:effectLst/>
              <a:sp3d contourW="25400">
                <a:contourClr>
                  <a:schemeClr val="lt1"/>
                </a:contourClr>
              </a:sp3d>
            </c:spPr>
          </c:dPt>
          <c:dPt>
            <c:idx val="25"/>
            <c:bubble3D val="0"/>
            <c:spPr>
              <a:solidFill>
                <a:schemeClr val="accent2">
                  <a:lumMod val="60000"/>
                  <a:lumOff val="40000"/>
                </a:schemeClr>
              </a:solidFill>
              <a:ln w="25400">
                <a:solidFill>
                  <a:schemeClr val="lt1"/>
                </a:solidFill>
              </a:ln>
              <a:effectLst/>
              <a:sp3d contourW="25400">
                <a:contourClr>
                  <a:schemeClr val="lt1"/>
                </a:contourClr>
              </a:sp3d>
            </c:spPr>
          </c:dPt>
          <c:dPt>
            <c:idx val="26"/>
            <c:bubble3D val="0"/>
            <c:spPr>
              <a:solidFill>
                <a:schemeClr val="accent3">
                  <a:lumMod val="60000"/>
                  <a:lumOff val="40000"/>
                </a:schemeClr>
              </a:solidFill>
              <a:ln w="25400">
                <a:solidFill>
                  <a:schemeClr val="lt1"/>
                </a:solidFill>
              </a:ln>
              <a:effectLst/>
              <a:sp3d contourW="25400">
                <a:contourClr>
                  <a:schemeClr val="lt1"/>
                </a:contourClr>
              </a:sp3d>
            </c:spPr>
          </c:dPt>
          <c:dPt>
            <c:idx val="27"/>
            <c:bubble3D val="0"/>
            <c:spPr>
              <a:solidFill>
                <a:schemeClr val="accent4">
                  <a:lumMod val="60000"/>
                  <a:lumOff val="40000"/>
                </a:schemeClr>
              </a:solidFill>
              <a:ln w="25400">
                <a:solidFill>
                  <a:schemeClr val="lt1"/>
                </a:solidFill>
              </a:ln>
              <a:effectLst/>
              <a:sp3d contourW="25400">
                <a:contourClr>
                  <a:schemeClr val="lt1"/>
                </a:contourClr>
              </a:sp3d>
            </c:spPr>
          </c:dPt>
          <c:dPt>
            <c:idx val="28"/>
            <c:bubble3D val="0"/>
            <c:spPr>
              <a:solidFill>
                <a:schemeClr val="accent5">
                  <a:lumMod val="60000"/>
                  <a:lumOff val="40000"/>
                </a:schemeClr>
              </a:solidFill>
              <a:ln w="25400">
                <a:solidFill>
                  <a:schemeClr val="lt1"/>
                </a:solidFill>
              </a:ln>
              <a:effectLst/>
              <a:sp3d contourW="25400">
                <a:contourClr>
                  <a:schemeClr val="lt1"/>
                </a:contourClr>
              </a:sp3d>
            </c:spPr>
          </c:dPt>
          <c:dPt>
            <c:idx val="29"/>
            <c:bubble3D val="0"/>
            <c:spPr>
              <a:solidFill>
                <a:schemeClr val="accent6">
                  <a:lumMod val="60000"/>
                  <a:lumOff val="40000"/>
                </a:schemeClr>
              </a:solidFill>
              <a:ln w="25400">
                <a:solidFill>
                  <a:schemeClr val="lt1"/>
                </a:solidFill>
              </a:ln>
              <a:effectLst/>
              <a:sp3d contourW="25400">
                <a:contourClr>
                  <a:schemeClr val="lt1"/>
                </a:contourClr>
              </a:sp3d>
            </c:spPr>
          </c:dPt>
          <c:dPt>
            <c:idx val="30"/>
            <c:bubble3D val="0"/>
            <c:spPr>
              <a:solidFill>
                <a:schemeClr val="accent1">
                  <a:lumMod val="50000"/>
                </a:schemeClr>
              </a:solidFill>
              <a:ln w="25400">
                <a:solidFill>
                  <a:schemeClr val="lt1"/>
                </a:solidFill>
              </a:ln>
              <a:effectLst/>
              <a:sp3d contourW="25400">
                <a:contourClr>
                  <a:schemeClr val="lt1"/>
                </a:contourClr>
              </a:sp3d>
            </c:spPr>
          </c:dPt>
          <c:dPt>
            <c:idx val="31"/>
            <c:bubble3D val="0"/>
            <c:spPr>
              <a:solidFill>
                <a:schemeClr val="accent2">
                  <a:lumMod val="50000"/>
                </a:schemeClr>
              </a:solidFill>
              <a:ln w="25400">
                <a:solidFill>
                  <a:schemeClr val="lt1"/>
                </a:solidFill>
              </a:ln>
              <a:effectLst/>
              <a:sp3d contourW="25400">
                <a:contourClr>
                  <a:schemeClr val="lt1"/>
                </a:contourClr>
              </a:sp3d>
            </c:spPr>
          </c:dPt>
          <c:dPt>
            <c:idx val="32"/>
            <c:bubble3D val="0"/>
            <c:spPr>
              <a:solidFill>
                <a:schemeClr val="accent3">
                  <a:lumMod val="50000"/>
                </a:schemeClr>
              </a:solidFill>
              <a:ln w="25400">
                <a:solidFill>
                  <a:schemeClr val="lt1"/>
                </a:solidFill>
              </a:ln>
              <a:effectLst/>
              <a:sp3d contourW="25400">
                <a:contourClr>
                  <a:schemeClr val="lt1"/>
                </a:contourClr>
              </a:sp3d>
            </c:spPr>
          </c:dPt>
          <c:dPt>
            <c:idx val="33"/>
            <c:bubble3D val="0"/>
            <c:spPr>
              <a:solidFill>
                <a:schemeClr val="accent4">
                  <a:lumMod val="50000"/>
                </a:schemeClr>
              </a:solidFill>
              <a:ln w="25400">
                <a:solidFill>
                  <a:schemeClr val="lt1"/>
                </a:solidFill>
              </a:ln>
              <a:effectLst/>
              <a:sp3d contourW="25400">
                <a:contourClr>
                  <a:schemeClr val="lt1"/>
                </a:contourClr>
              </a:sp3d>
            </c:spPr>
          </c:dPt>
          <c:dPt>
            <c:idx val="34"/>
            <c:bubble3D val="0"/>
            <c:spPr>
              <a:solidFill>
                <a:schemeClr val="accent5">
                  <a:lumMod val="50000"/>
                </a:schemeClr>
              </a:solidFill>
              <a:ln w="25400">
                <a:solidFill>
                  <a:schemeClr val="lt1"/>
                </a:solidFill>
              </a:ln>
              <a:effectLst/>
              <a:sp3d contourW="25400">
                <a:contourClr>
                  <a:schemeClr val="lt1"/>
                </a:contourClr>
              </a:sp3d>
            </c:spPr>
          </c:dPt>
          <c:dPt>
            <c:idx val="35"/>
            <c:bubble3D val="0"/>
            <c:spPr>
              <a:solidFill>
                <a:schemeClr val="accent6">
                  <a:lumMod val="50000"/>
                </a:schemeClr>
              </a:solidFill>
              <a:ln w="25400">
                <a:solidFill>
                  <a:schemeClr val="lt1"/>
                </a:solidFill>
              </a:ln>
              <a:effectLst/>
              <a:sp3d contourW="25400">
                <a:contourClr>
                  <a:schemeClr val="lt1"/>
                </a:contourClr>
              </a:sp3d>
            </c:spPr>
          </c:dPt>
          <c:dPt>
            <c:idx val="36"/>
            <c:bubble3D val="0"/>
            <c:spPr>
              <a:solidFill>
                <a:schemeClr val="accent1">
                  <a:lumMod val="70000"/>
                  <a:lumOff val="30000"/>
                </a:schemeClr>
              </a:solidFill>
              <a:ln w="25400">
                <a:solidFill>
                  <a:schemeClr val="lt1"/>
                </a:solidFill>
              </a:ln>
              <a:effectLst/>
              <a:sp3d contourW="25400">
                <a:contourClr>
                  <a:schemeClr val="lt1"/>
                </a:contourClr>
              </a:sp3d>
            </c:spPr>
          </c:dPt>
          <c:dPt>
            <c:idx val="37"/>
            <c:bubble3D val="0"/>
            <c:spPr>
              <a:solidFill>
                <a:schemeClr val="accent2">
                  <a:lumMod val="70000"/>
                  <a:lumOff val="30000"/>
                </a:schemeClr>
              </a:solidFill>
              <a:ln w="25400">
                <a:solidFill>
                  <a:schemeClr val="lt1"/>
                </a:solidFill>
              </a:ln>
              <a:effectLst/>
              <a:sp3d contourW="25400">
                <a:contourClr>
                  <a:schemeClr val="lt1"/>
                </a:contourClr>
              </a:sp3d>
            </c:spPr>
          </c:dPt>
          <c:dPt>
            <c:idx val="38"/>
            <c:bubble3D val="0"/>
            <c:spPr>
              <a:solidFill>
                <a:schemeClr val="accent3">
                  <a:lumMod val="70000"/>
                  <a:lumOff val="30000"/>
                </a:schemeClr>
              </a:solidFill>
              <a:ln w="25400">
                <a:solidFill>
                  <a:schemeClr val="lt1"/>
                </a:solidFill>
              </a:ln>
              <a:effectLst/>
              <a:sp3d contourW="25400">
                <a:contourClr>
                  <a:schemeClr val="lt1"/>
                </a:contourClr>
              </a:sp3d>
            </c:spPr>
          </c:dPt>
          <c:cat>
            <c:strRef>
              <c:f>Sheet12!$AD$21:$AD$60</c:f>
              <c:strCache>
                <c:ptCount val="39"/>
                <c:pt idx="0">
                  <c:v>Argentina</c:v>
                </c:pt>
                <c:pt idx="1">
                  <c:v>Australia</c:v>
                </c:pt>
                <c:pt idx="2">
                  <c:v>Brazil</c:v>
                </c:pt>
                <c:pt idx="3">
                  <c:v>Canada</c:v>
                </c:pt>
                <c:pt idx="4">
                  <c:v>Chile</c:v>
                </c:pt>
                <c:pt idx="5">
                  <c:v>China</c:v>
                </c:pt>
                <c:pt idx="6">
                  <c:v>Colombia</c:v>
                </c:pt>
                <c:pt idx="7">
                  <c:v>Denmark</c:v>
                </c:pt>
                <c:pt idx="8">
                  <c:v>Egypt</c:v>
                </c:pt>
                <c:pt idx="9">
                  <c:v>France</c:v>
                </c:pt>
                <c:pt idx="10">
                  <c:v>Germany</c:v>
                </c:pt>
                <c:pt idx="11">
                  <c:v>Hong Kong</c:v>
                </c:pt>
                <c:pt idx="12">
                  <c:v>India</c:v>
                </c:pt>
                <c:pt idx="13">
                  <c:v>Indonesia</c:v>
                </c:pt>
                <c:pt idx="14">
                  <c:v>Israel</c:v>
                </c:pt>
                <c:pt idx="15">
                  <c:v>Italy</c:v>
                </c:pt>
                <c:pt idx="16">
                  <c:v>Japan</c:v>
                </c:pt>
                <c:pt idx="17">
                  <c:v>Malaysia</c:v>
                </c:pt>
                <c:pt idx="18">
                  <c:v>Mexico</c:v>
                </c:pt>
                <c:pt idx="19">
                  <c:v>Netherlands</c:v>
                </c:pt>
                <c:pt idx="20">
                  <c:v>Nigeria</c:v>
                </c:pt>
                <c:pt idx="21">
                  <c:v>Norway</c:v>
                </c:pt>
                <c:pt idx="22">
                  <c:v>Peru</c:v>
                </c:pt>
                <c:pt idx="23">
                  <c:v>Philippines</c:v>
                </c:pt>
                <c:pt idx="24">
                  <c:v>Russia</c:v>
                </c:pt>
                <c:pt idx="25">
                  <c:v>Saudi Arabia</c:v>
                </c:pt>
                <c:pt idx="26">
                  <c:v>Singapore</c:v>
                </c:pt>
                <c:pt idx="27">
                  <c:v>South Africa</c:v>
                </c:pt>
                <c:pt idx="28">
                  <c:v>South Korea</c:v>
                </c:pt>
                <c:pt idx="29">
                  <c:v>Spain</c:v>
                </c:pt>
                <c:pt idx="30">
                  <c:v>Sweden</c:v>
                </c:pt>
                <c:pt idx="31">
                  <c:v>Switzerland</c:v>
                </c:pt>
                <c:pt idx="32">
                  <c:v>Taiwan</c:v>
                </c:pt>
                <c:pt idx="33">
                  <c:v>Thailand</c:v>
                </c:pt>
                <c:pt idx="34">
                  <c:v>Turkey</c:v>
                </c:pt>
                <c:pt idx="35">
                  <c:v>UAE</c:v>
                </c:pt>
                <c:pt idx="36">
                  <c:v>United Kingdom</c:v>
                </c:pt>
                <c:pt idx="37">
                  <c:v>United States</c:v>
                </c:pt>
                <c:pt idx="38">
                  <c:v>Vietnam</c:v>
                </c:pt>
              </c:strCache>
            </c:strRef>
          </c:cat>
          <c:val>
            <c:numRef>
              <c:f>Sheet12!$AE$21:$AE$60</c:f>
              <c:numCache>
                <c:formatCode>General</c:formatCode>
                <c:ptCount val="39"/>
                <c:pt idx="0">
                  <c:v>-1.6</c:v>
                </c:pt>
                <c:pt idx="1">
                  <c:v>1.7</c:v>
                </c:pt>
                <c:pt idx="2">
                  <c:v>2.1</c:v>
                </c:pt>
                <c:pt idx="3">
                  <c:v>2.9</c:v>
                </c:pt>
                <c:pt idx="4">
                  <c:v>2.4</c:v>
                </c:pt>
                <c:pt idx="5">
                  <c:v>5.2</c:v>
                </c:pt>
                <c:pt idx="6">
                  <c:v>1.2</c:v>
                </c:pt>
                <c:pt idx="7">
                  <c:v>1.8</c:v>
                </c:pt>
                <c:pt idx="8">
                  <c:v>2.8</c:v>
                </c:pt>
                <c:pt idx="9">
                  <c:v>1.3</c:v>
                </c:pt>
                <c:pt idx="10">
                  <c:v>0.3</c:v>
                </c:pt>
                <c:pt idx="11">
                  <c:v>3.2</c:v>
                </c:pt>
                <c:pt idx="12">
                  <c:v>6.8</c:v>
                </c:pt>
                <c:pt idx="13">
                  <c:v>5.0999999999999996</c:v>
                </c:pt>
                <c:pt idx="14">
                  <c:v>2</c:v>
                </c:pt>
                <c:pt idx="15">
                  <c:v>0.7</c:v>
                </c:pt>
                <c:pt idx="16">
                  <c:v>0.9</c:v>
                </c:pt>
                <c:pt idx="17">
                  <c:v>4.2</c:v>
                </c:pt>
                <c:pt idx="18">
                  <c:v>2.4</c:v>
                </c:pt>
                <c:pt idx="19">
                  <c:v>0.6</c:v>
                </c:pt>
                <c:pt idx="20">
                  <c:v>3.2</c:v>
                </c:pt>
                <c:pt idx="21">
                  <c:v>2.1</c:v>
                </c:pt>
                <c:pt idx="22">
                  <c:v>2.8</c:v>
                </c:pt>
                <c:pt idx="23">
                  <c:v>5.8</c:v>
                </c:pt>
                <c:pt idx="24">
                  <c:v>-1.9</c:v>
                </c:pt>
                <c:pt idx="25">
                  <c:v>1.1000000000000001</c:v>
                </c:pt>
                <c:pt idx="26">
                  <c:v>2.6</c:v>
                </c:pt>
                <c:pt idx="27">
                  <c:v>0.9</c:v>
                </c:pt>
                <c:pt idx="28">
                  <c:v>3.1</c:v>
                </c:pt>
                <c:pt idx="29">
                  <c:v>2.5</c:v>
                </c:pt>
                <c:pt idx="30">
                  <c:v>0.8</c:v>
                </c:pt>
                <c:pt idx="31">
                  <c:v>1.2</c:v>
                </c:pt>
                <c:pt idx="32">
                  <c:v>3.8</c:v>
                </c:pt>
                <c:pt idx="33">
                  <c:v>2.9</c:v>
                </c:pt>
                <c:pt idx="34">
                  <c:v>3.1</c:v>
                </c:pt>
                <c:pt idx="35">
                  <c:v>3.9</c:v>
                </c:pt>
                <c:pt idx="36">
                  <c:v>1.1000000000000001</c:v>
                </c:pt>
                <c:pt idx="37">
                  <c:v>2.8</c:v>
                </c:pt>
                <c:pt idx="38">
                  <c:v>6.4</c:v>
                </c:pt>
              </c:numCache>
            </c:numRef>
          </c:val>
          <c:extLst>
            <c:ext xmlns:c16="http://schemas.microsoft.com/office/drawing/2014/chart" uri="{C3380CC4-5D6E-409C-BE32-E72D297353CC}">
              <c16:uniqueId val="{00000000-4C42-F249-AB0F-E7130D32E58F}"/>
            </c:ext>
          </c:extLst>
        </c:ser>
        <c:ser>
          <c:idx val="1"/>
          <c:order val="1"/>
          <c:tx>
            <c:strRef>
              <c:f>Sheet12!$AF$20</c:f>
              <c:strCache>
                <c:ptCount val="1"/>
                <c:pt idx="0">
                  <c:v>Sum of Inflation_Rate_Percent</c:v>
                </c:pt>
              </c:strCache>
            </c:strRef>
          </c:tx>
          <c:dPt>
            <c:idx val="0"/>
            <c:bubble3D val="0"/>
            <c:spPr>
              <a:solidFill>
                <a:schemeClr val="accent1"/>
              </a:solidFill>
              <a:ln w="25400">
                <a:solidFill>
                  <a:schemeClr val="lt1"/>
                </a:solidFill>
              </a:ln>
              <a:effectLst/>
              <a:sp3d contourW="25400">
                <a:contourClr>
                  <a:schemeClr val="lt1"/>
                </a:contourClr>
              </a:sp3d>
            </c:spPr>
          </c:dPt>
          <c:dPt>
            <c:idx val="1"/>
            <c:bubble3D val="0"/>
            <c:spPr>
              <a:solidFill>
                <a:schemeClr val="accent2"/>
              </a:solidFill>
              <a:ln w="25400">
                <a:solidFill>
                  <a:schemeClr val="lt1"/>
                </a:solidFill>
              </a:ln>
              <a:effectLst/>
              <a:sp3d contourW="25400">
                <a:contourClr>
                  <a:schemeClr val="lt1"/>
                </a:contourClr>
              </a:sp3d>
            </c:spPr>
          </c:dPt>
          <c:dPt>
            <c:idx val="2"/>
            <c:bubble3D val="0"/>
            <c:spPr>
              <a:solidFill>
                <a:schemeClr val="accent3"/>
              </a:solidFill>
              <a:ln w="25400">
                <a:solidFill>
                  <a:schemeClr val="lt1"/>
                </a:solidFill>
              </a:ln>
              <a:effectLst/>
              <a:sp3d contourW="25400">
                <a:contourClr>
                  <a:schemeClr val="lt1"/>
                </a:contourClr>
              </a:sp3d>
            </c:spPr>
          </c:dPt>
          <c:dPt>
            <c:idx val="3"/>
            <c:bubble3D val="0"/>
            <c:spPr>
              <a:solidFill>
                <a:schemeClr val="accent4"/>
              </a:solidFill>
              <a:ln w="25400">
                <a:solidFill>
                  <a:schemeClr val="lt1"/>
                </a:solidFill>
              </a:ln>
              <a:effectLst/>
              <a:sp3d contourW="25400">
                <a:contourClr>
                  <a:schemeClr val="lt1"/>
                </a:contourClr>
              </a:sp3d>
            </c:spPr>
          </c:dPt>
          <c:dPt>
            <c:idx val="4"/>
            <c:bubble3D val="0"/>
            <c:spPr>
              <a:solidFill>
                <a:schemeClr val="accent5"/>
              </a:solidFill>
              <a:ln w="25400">
                <a:solidFill>
                  <a:schemeClr val="lt1"/>
                </a:solidFill>
              </a:ln>
              <a:effectLst/>
              <a:sp3d contourW="25400">
                <a:contourClr>
                  <a:schemeClr val="lt1"/>
                </a:contourClr>
              </a:sp3d>
            </c:spPr>
          </c:dPt>
          <c:dPt>
            <c:idx val="5"/>
            <c:bubble3D val="0"/>
            <c:spPr>
              <a:solidFill>
                <a:schemeClr val="accent6"/>
              </a:solidFill>
              <a:ln w="25400">
                <a:solidFill>
                  <a:schemeClr val="lt1"/>
                </a:solidFill>
              </a:ln>
              <a:effectLst/>
              <a:sp3d contourW="25400">
                <a:contourClr>
                  <a:schemeClr val="lt1"/>
                </a:contourClr>
              </a:sp3d>
            </c:spPr>
          </c:dPt>
          <c:dPt>
            <c:idx val="6"/>
            <c:bubble3D val="0"/>
            <c:spPr>
              <a:solidFill>
                <a:schemeClr val="accent1">
                  <a:lumMod val="60000"/>
                </a:schemeClr>
              </a:solidFill>
              <a:ln w="25400">
                <a:solidFill>
                  <a:schemeClr val="lt1"/>
                </a:solidFill>
              </a:ln>
              <a:effectLst/>
              <a:sp3d contourW="25400">
                <a:contourClr>
                  <a:schemeClr val="lt1"/>
                </a:contourClr>
              </a:sp3d>
            </c:spPr>
          </c:dPt>
          <c:dPt>
            <c:idx val="7"/>
            <c:bubble3D val="0"/>
            <c:spPr>
              <a:solidFill>
                <a:schemeClr val="accent2">
                  <a:lumMod val="60000"/>
                </a:schemeClr>
              </a:solidFill>
              <a:ln w="25400">
                <a:solidFill>
                  <a:schemeClr val="lt1"/>
                </a:solidFill>
              </a:ln>
              <a:effectLst/>
              <a:sp3d contourW="25400">
                <a:contourClr>
                  <a:schemeClr val="lt1"/>
                </a:contourClr>
              </a:sp3d>
            </c:spPr>
          </c:dPt>
          <c:dPt>
            <c:idx val="8"/>
            <c:bubble3D val="0"/>
            <c:spPr>
              <a:solidFill>
                <a:schemeClr val="accent3">
                  <a:lumMod val="60000"/>
                </a:schemeClr>
              </a:solidFill>
              <a:ln w="25400">
                <a:solidFill>
                  <a:schemeClr val="lt1"/>
                </a:solidFill>
              </a:ln>
              <a:effectLst/>
              <a:sp3d contourW="25400">
                <a:contourClr>
                  <a:schemeClr val="lt1"/>
                </a:contourClr>
              </a:sp3d>
            </c:spPr>
          </c:dPt>
          <c:dPt>
            <c:idx val="9"/>
            <c:bubble3D val="0"/>
            <c:spPr>
              <a:solidFill>
                <a:schemeClr val="accent4">
                  <a:lumMod val="60000"/>
                </a:schemeClr>
              </a:solidFill>
              <a:ln w="25400">
                <a:solidFill>
                  <a:schemeClr val="lt1"/>
                </a:solidFill>
              </a:ln>
              <a:effectLst/>
              <a:sp3d contourW="25400">
                <a:contourClr>
                  <a:schemeClr val="lt1"/>
                </a:contourClr>
              </a:sp3d>
            </c:spPr>
          </c:dPt>
          <c:dPt>
            <c:idx val="10"/>
            <c:bubble3D val="0"/>
            <c:spPr>
              <a:solidFill>
                <a:schemeClr val="accent5">
                  <a:lumMod val="60000"/>
                </a:schemeClr>
              </a:solidFill>
              <a:ln w="25400">
                <a:solidFill>
                  <a:schemeClr val="lt1"/>
                </a:solidFill>
              </a:ln>
              <a:effectLst/>
              <a:sp3d contourW="25400">
                <a:contourClr>
                  <a:schemeClr val="lt1"/>
                </a:contourClr>
              </a:sp3d>
            </c:spPr>
          </c:dPt>
          <c:dPt>
            <c:idx val="11"/>
            <c:bubble3D val="0"/>
            <c:spPr>
              <a:solidFill>
                <a:schemeClr val="accent6">
                  <a:lumMod val="60000"/>
                </a:schemeClr>
              </a:solidFill>
              <a:ln w="25400">
                <a:solidFill>
                  <a:schemeClr val="lt1"/>
                </a:solidFill>
              </a:ln>
              <a:effectLst/>
              <a:sp3d contourW="25400">
                <a:contourClr>
                  <a:schemeClr val="lt1"/>
                </a:contourClr>
              </a:sp3d>
            </c:spPr>
          </c:dPt>
          <c:dPt>
            <c:idx val="12"/>
            <c:bubble3D val="0"/>
            <c:spPr>
              <a:solidFill>
                <a:schemeClr val="accent1">
                  <a:lumMod val="80000"/>
                  <a:lumOff val="20000"/>
                </a:schemeClr>
              </a:solidFill>
              <a:ln w="25400">
                <a:solidFill>
                  <a:schemeClr val="lt1"/>
                </a:solidFill>
              </a:ln>
              <a:effectLst/>
              <a:sp3d contourW="25400">
                <a:contourClr>
                  <a:schemeClr val="lt1"/>
                </a:contourClr>
              </a:sp3d>
            </c:spPr>
          </c:dPt>
          <c:dPt>
            <c:idx val="13"/>
            <c:bubble3D val="0"/>
            <c:spPr>
              <a:solidFill>
                <a:schemeClr val="accent2">
                  <a:lumMod val="80000"/>
                  <a:lumOff val="20000"/>
                </a:schemeClr>
              </a:solidFill>
              <a:ln w="25400">
                <a:solidFill>
                  <a:schemeClr val="lt1"/>
                </a:solidFill>
              </a:ln>
              <a:effectLst/>
              <a:sp3d contourW="25400">
                <a:contourClr>
                  <a:schemeClr val="lt1"/>
                </a:contourClr>
              </a:sp3d>
            </c:spPr>
          </c:dPt>
          <c:dPt>
            <c:idx val="14"/>
            <c:bubble3D val="0"/>
            <c:spPr>
              <a:solidFill>
                <a:schemeClr val="accent3">
                  <a:lumMod val="80000"/>
                  <a:lumOff val="20000"/>
                </a:schemeClr>
              </a:solidFill>
              <a:ln w="25400">
                <a:solidFill>
                  <a:schemeClr val="lt1"/>
                </a:solidFill>
              </a:ln>
              <a:effectLst/>
              <a:sp3d contourW="25400">
                <a:contourClr>
                  <a:schemeClr val="lt1"/>
                </a:contourClr>
              </a:sp3d>
            </c:spPr>
          </c:dPt>
          <c:dPt>
            <c:idx val="15"/>
            <c:bubble3D val="0"/>
            <c:spPr>
              <a:solidFill>
                <a:schemeClr val="accent4">
                  <a:lumMod val="80000"/>
                  <a:lumOff val="20000"/>
                </a:schemeClr>
              </a:solidFill>
              <a:ln w="25400">
                <a:solidFill>
                  <a:schemeClr val="lt1"/>
                </a:solidFill>
              </a:ln>
              <a:effectLst/>
              <a:sp3d contourW="25400">
                <a:contourClr>
                  <a:schemeClr val="lt1"/>
                </a:contourClr>
              </a:sp3d>
            </c:spPr>
          </c:dPt>
          <c:dPt>
            <c:idx val="16"/>
            <c:bubble3D val="0"/>
            <c:spPr>
              <a:solidFill>
                <a:schemeClr val="accent5">
                  <a:lumMod val="80000"/>
                  <a:lumOff val="20000"/>
                </a:schemeClr>
              </a:solidFill>
              <a:ln w="25400">
                <a:solidFill>
                  <a:schemeClr val="lt1"/>
                </a:solidFill>
              </a:ln>
              <a:effectLst/>
              <a:sp3d contourW="25400">
                <a:contourClr>
                  <a:schemeClr val="lt1"/>
                </a:contourClr>
              </a:sp3d>
            </c:spPr>
          </c:dPt>
          <c:dPt>
            <c:idx val="17"/>
            <c:bubble3D val="0"/>
            <c:spPr>
              <a:solidFill>
                <a:schemeClr val="accent6">
                  <a:lumMod val="80000"/>
                  <a:lumOff val="20000"/>
                </a:schemeClr>
              </a:solidFill>
              <a:ln w="25400">
                <a:solidFill>
                  <a:schemeClr val="lt1"/>
                </a:solidFill>
              </a:ln>
              <a:effectLst/>
              <a:sp3d contourW="25400">
                <a:contourClr>
                  <a:schemeClr val="lt1"/>
                </a:contourClr>
              </a:sp3d>
            </c:spPr>
          </c:dPt>
          <c:dPt>
            <c:idx val="18"/>
            <c:bubble3D val="0"/>
            <c:spPr>
              <a:solidFill>
                <a:schemeClr val="accent1">
                  <a:lumMod val="80000"/>
                </a:schemeClr>
              </a:solidFill>
              <a:ln w="25400">
                <a:solidFill>
                  <a:schemeClr val="lt1"/>
                </a:solidFill>
              </a:ln>
              <a:effectLst/>
              <a:sp3d contourW="25400">
                <a:contourClr>
                  <a:schemeClr val="lt1"/>
                </a:contourClr>
              </a:sp3d>
            </c:spPr>
          </c:dPt>
          <c:dPt>
            <c:idx val="19"/>
            <c:bubble3D val="0"/>
            <c:spPr>
              <a:solidFill>
                <a:schemeClr val="accent2">
                  <a:lumMod val="80000"/>
                </a:schemeClr>
              </a:solidFill>
              <a:ln w="25400">
                <a:solidFill>
                  <a:schemeClr val="lt1"/>
                </a:solidFill>
              </a:ln>
              <a:effectLst/>
              <a:sp3d contourW="25400">
                <a:contourClr>
                  <a:schemeClr val="lt1"/>
                </a:contourClr>
              </a:sp3d>
            </c:spPr>
          </c:dPt>
          <c:dPt>
            <c:idx val="20"/>
            <c:bubble3D val="0"/>
            <c:spPr>
              <a:solidFill>
                <a:schemeClr val="accent3">
                  <a:lumMod val="80000"/>
                </a:schemeClr>
              </a:solidFill>
              <a:ln w="25400">
                <a:solidFill>
                  <a:schemeClr val="lt1"/>
                </a:solidFill>
              </a:ln>
              <a:effectLst/>
              <a:sp3d contourW="25400">
                <a:contourClr>
                  <a:schemeClr val="lt1"/>
                </a:contourClr>
              </a:sp3d>
            </c:spPr>
          </c:dPt>
          <c:dPt>
            <c:idx val="21"/>
            <c:bubble3D val="0"/>
            <c:spPr>
              <a:solidFill>
                <a:schemeClr val="accent4">
                  <a:lumMod val="80000"/>
                </a:schemeClr>
              </a:solidFill>
              <a:ln w="25400">
                <a:solidFill>
                  <a:schemeClr val="lt1"/>
                </a:solidFill>
              </a:ln>
              <a:effectLst/>
              <a:sp3d contourW="25400">
                <a:contourClr>
                  <a:schemeClr val="lt1"/>
                </a:contourClr>
              </a:sp3d>
            </c:spPr>
          </c:dPt>
          <c:dPt>
            <c:idx val="22"/>
            <c:bubble3D val="0"/>
            <c:spPr>
              <a:solidFill>
                <a:schemeClr val="accent5">
                  <a:lumMod val="80000"/>
                </a:schemeClr>
              </a:solidFill>
              <a:ln w="25400">
                <a:solidFill>
                  <a:schemeClr val="lt1"/>
                </a:solidFill>
              </a:ln>
              <a:effectLst/>
              <a:sp3d contourW="25400">
                <a:contourClr>
                  <a:schemeClr val="lt1"/>
                </a:contourClr>
              </a:sp3d>
            </c:spPr>
          </c:dPt>
          <c:dPt>
            <c:idx val="23"/>
            <c:bubble3D val="0"/>
            <c:spPr>
              <a:solidFill>
                <a:schemeClr val="accent6">
                  <a:lumMod val="80000"/>
                </a:schemeClr>
              </a:solidFill>
              <a:ln w="25400">
                <a:solidFill>
                  <a:schemeClr val="lt1"/>
                </a:solidFill>
              </a:ln>
              <a:effectLst/>
              <a:sp3d contourW="25400">
                <a:contourClr>
                  <a:schemeClr val="lt1"/>
                </a:contourClr>
              </a:sp3d>
            </c:spPr>
          </c:dPt>
          <c:dPt>
            <c:idx val="24"/>
            <c:bubble3D val="0"/>
            <c:spPr>
              <a:solidFill>
                <a:schemeClr val="accent1">
                  <a:lumMod val="60000"/>
                  <a:lumOff val="40000"/>
                </a:schemeClr>
              </a:solidFill>
              <a:ln w="25400">
                <a:solidFill>
                  <a:schemeClr val="lt1"/>
                </a:solidFill>
              </a:ln>
              <a:effectLst/>
              <a:sp3d contourW="25400">
                <a:contourClr>
                  <a:schemeClr val="lt1"/>
                </a:contourClr>
              </a:sp3d>
            </c:spPr>
          </c:dPt>
          <c:dPt>
            <c:idx val="25"/>
            <c:bubble3D val="0"/>
            <c:spPr>
              <a:solidFill>
                <a:schemeClr val="accent2">
                  <a:lumMod val="60000"/>
                  <a:lumOff val="40000"/>
                </a:schemeClr>
              </a:solidFill>
              <a:ln w="25400">
                <a:solidFill>
                  <a:schemeClr val="lt1"/>
                </a:solidFill>
              </a:ln>
              <a:effectLst/>
              <a:sp3d contourW="25400">
                <a:contourClr>
                  <a:schemeClr val="lt1"/>
                </a:contourClr>
              </a:sp3d>
            </c:spPr>
          </c:dPt>
          <c:dPt>
            <c:idx val="26"/>
            <c:bubble3D val="0"/>
            <c:spPr>
              <a:solidFill>
                <a:schemeClr val="accent3">
                  <a:lumMod val="60000"/>
                  <a:lumOff val="40000"/>
                </a:schemeClr>
              </a:solidFill>
              <a:ln w="25400">
                <a:solidFill>
                  <a:schemeClr val="lt1"/>
                </a:solidFill>
              </a:ln>
              <a:effectLst/>
              <a:sp3d contourW="25400">
                <a:contourClr>
                  <a:schemeClr val="lt1"/>
                </a:contourClr>
              </a:sp3d>
            </c:spPr>
          </c:dPt>
          <c:dPt>
            <c:idx val="27"/>
            <c:bubble3D val="0"/>
            <c:spPr>
              <a:solidFill>
                <a:schemeClr val="accent4">
                  <a:lumMod val="60000"/>
                  <a:lumOff val="40000"/>
                </a:schemeClr>
              </a:solidFill>
              <a:ln w="25400">
                <a:solidFill>
                  <a:schemeClr val="lt1"/>
                </a:solidFill>
              </a:ln>
              <a:effectLst/>
              <a:sp3d contourW="25400">
                <a:contourClr>
                  <a:schemeClr val="lt1"/>
                </a:contourClr>
              </a:sp3d>
            </c:spPr>
          </c:dPt>
          <c:dPt>
            <c:idx val="28"/>
            <c:bubble3D val="0"/>
            <c:spPr>
              <a:solidFill>
                <a:schemeClr val="accent5">
                  <a:lumMod val="60000"/>
                  <a:lumOff val="40000"/>
                </a:schemeClr>
              </a:solidFill>
              <a:ln w="25400">
                <a:solidFill>
                  <a:schemeClr val="lt1"/>
                </a:solidFill>
              </a:ln>
              <a:effectLst/>
              <a:sp3d contourW="25400">
                <a:contourClr>
                  <a:schemeClr val="lt1"/>
                </a:contourClr>
              </a:sp3d>
            </c:spPr>
          </c:dPt>
          <c:dPt>
            <c:idx val="29"/>
            <c:bubble3D val="0"/>
            <c:spPr>
              <a:solidFill>
                <a:schemeClr val="accent6">
                  <a:lumMod val="60000"/>
                  <a:lumOff val="40000"/>
                </a:schemeClr>
              </a:solidFill>
              <a:ln w="25400">
                <a:solidFill>
                  <a:schemeClr val="lt1"/>
                </a:solidFill>
              </a:ln>
              <a:effectLst/>
              <a:sp3d contourW="25400">
                <a:contourClr>
                  <a:schemeClr val="lt1"/>
                </a:contourClr>
              </a:sp3d>
            </c:spPr>
          </c:dPt>
          <c:dPt>
            <c:idx val="30"/>
            <c:bubble3D val="0"/>
            <c:spPr>
              <a:solidFill>
                <a:schemeClr val="accent1">
                  <a:lumMod val="50000"/>
                </a:schemeClr>
              </a:solidFill>
              <a:ln w="25400">
                <a:solidFill>
                  <a:schemeClr val="lt1"/>
                </a:solidFill>
              </a:ln>
              <a:effectLst/>
              <a:sp3d contourW="25400">
                <a:contourClr>
                  <a:schemeClr val="lt1"/>
                </a:contourClr>
              </a:sp3d>
            </c:spPr>
          </c:dPt>
          <c:dPt>
            <c:idx val="31"/>
            <c:bubble3D val="0"/>
            <c:spPr>
              <a:solidFill>
                <a:schemeClr val="accent2">
                  <a:lumMod val="50000"/>
                </a:schemeClr>
              </a:solidFill>
              <a:ln w="25400">
                <a:solidFill>
                  <a:schemeClr val="lt1"/>
                </a:solidFill>
              </a:ln>
              <a:effectLst/>
              <a:sp3d contourW="25400">
                <a:contourClr>
                  <a:schemeClr val="lt1"/>
                </a:contourClr>
              </a:sp3d>
            </c:spPr>
          </c:dPt>
          <c:dPt>
            <c:idx val="32"/>
            <c:bubble3D val="0"/>
            <c:spPr>
              <a:solidFill>
                <a:schemeClr val="accent3">
                  <a:lumMod val="50000"/>
                </a:schemeClr>
              </a:solidFill>
              <a:ln w="25400">
                <a:solidFill>
                  <a:schemeClr val="lt1"/>
                </a:solidFill>
              </a:ln>
              <a:effectLst/>
              <a:sp3d contourW="25400">
                <a:contourClr>
                  <a:schemeClr val="lt1"/>
                </a:contourClr>
              </a:sp3d>
            </c:spPr>
          </c:dPt>
          <c:dPt>
            <c:idx val="33"/>
            <c:bubble3D val="0"/>
            <c:spPr>
              <a:solidFill>
                <a:schemeClr val="accent4">
                  <a:lumMod val="50000"/>
                </a:schemeClr>
              </a:solidFill>
              <a:ln w="25400">
                <a:solidFill>
                  <a:schemeClr val="lt1"/>
                </a:solidFill>
              </a:ln>
              <a:effectLst/>
              <a:sp3d contourW="25400">
                <a:contourClr>
                  <a:schemeClr val="lt1"/>
                </a:contourClr>
              </a:sp3d>
            </c:spPr>
          </c:dPt>
          <c:dPt>
            <c:idx val="34"/>
            <c:bubble3D val="0"/>
            <c:spPr>
              <a:solidFill>
                <a:schemeClr val="accent5">
                  <a:lumMod val="50000"/>
                </a:schemeClr>
              </a:solidFill>
              <a:ln w="25400">
                <a:solidFill>
                  <a:schemeClr val="lt1"/>
                </a:solidFill>
              </a:ln>
              <a:effectLst/>
              <a:sp3d contourW="25400">
                <a:contourClr>
                  <a:schemeClr val="lt1"/>
                </a:contourClr>
              </a:sp3d>
            </c:spPr>
          </c:dPt>
          <c:dPt>
            <c:idx val="35"/>
            <c:bubble3D val="0"/>
            <c:spPr>
              <a:solidFill>
                <a:schemeClr val="accent6">
                  <a:lumMod val="50000"/>
                </a:schemeClr>
              </a:solidFill>
              <a:ln w="25400">
                <a:solidFill>
                  <a:schemeClr val="lt1"/>
                </a:solidFill>
              </a:ln>
              <a:effectLst/>
              <a:sp3d contourW="25400">
                <a:contourClr>
                  <a:schemeClr val="lt1"/>
                </a:contourClr>
              </a:sp3d>
            </c:spPr>
          </c:dPt>
          <c:dPt>
            <c:idx val="36"/>
            <c:bubble3D val="0"/>
            <c:spPr>
              <a:solidFill>
                <a:schemeClr val="accent1">
                  <a:lumMod val="70000"/>
                  <a:lumOff val="30000"/>
                </a:schemeClr>
              </a:solidFill>
              <a:ln w="25400">
                <a:solidFill>
                  <a:schemeClr val="lt1"/>
                </a:solidFill>
              </a:ln>
              <a:effectLst/>
              <a:sp3d contourW="25400">
                <a:contourClr>
                  <a:schemeClr val="lt1"/>
                </a:contourClr>
              </a:sp3d>
            </c:spPr>
          </c:dPt>
          <c:dPt>
            <c:idx val="37"/>
            <c:bubble3D val="0"/>
            <c:spPr>
              <a:solidFill>
                <a:schemeClr val="accent2">
                  <a:lumMod val="70000"/>
                  <a:lumOff val="30000"/>
                </a:schemeClr>
              </a:solidFill>
              <a:ln w="25400">
                <a:solidFill>
                  <a:schemeClr val="lt1"/>
                </a:solidFill>
              </a:ln>
              <a:effectLst/>
              <a:sp3d contourW="25400">
                <a:contourClr>
                  <a:schemeClr val="lt1"/>
                </a:contourClr>
              </a:sp3d>
            </c:spPr>
          </c:dPt>
          <c:dPt>
            <c:idx val="38"/>
            <c:bubble3D val="0"/>
            <c:spPr>
              <a:solidFill>
                <a:schemeClr val="accent3">
                  <a:lumMod val="70000"/>
                  <a:lumOff val="30000"/>
                </a:schemeClr>
              </a:solidFill>
              <a:ln w="25400">
                <a:solidFill>
                  <a:schemeClr val="lt1"/>
                </a:solidFill>
              </a:ln>
              <a:effectLst/>
              <a:sp3d contourW="25400">
                <a:contourClr>
                  <a:schemeClr val="lt1"/>
                </a:contourClr>
              </a:sp3d>
            </c:spPr>
          </c:dPt>
          <c:cat>
            <c:strRef>
              <c:f>Sheet12!$AD$21:$AD$60</c:f>
              <c:strCache>
                <c:ptCount val="39"/>
                <c:pt idx="0">
                  <c:v>Argentina</c:v>
                </c:pt>
                <c:pt idx="1">
                  <c:v>Australia</c:v>
                </c:pt>
                <c:pt idx="2">
                  <c:v>Brazil</c:v>
                </c:pt>
                <c:pt idx="3">
                  <c:v>Canada</c:v>
                </c:pt>
                <c:pt idx="4">
                  <c:v>Chile</c:v>
                </c:pt>
                <c:pt idx="5">
                  <c:v>China</c:v>
                </c:pt>
                <c:pt idx="6">
                  <c:v>Colombia</c:v>
                </c:pt>
                <c:pt idx="7">
                  <c:v>Denmark</c:v>
                </c:pt>
                <c:pt idx="8">
                  <c:v>Egypt</c:v>
                </c:pt>
                <c:pt idx="9">
                  <c:v>France</c:v>
                </c:pt>
                <c:pt idx="10">
                  <c:v>Germany</c:v>
                </c:pt>
                <c:pt idx="11">
                  <c:v>Hong Kong</c:v>
                </c:pt>
                <c:pt idx="12">
                  <c:v>India</c:v>
                </c:pt>
                <c:pt idx="13">
                  <c:v>Indonesia</c:v>
                </c:pt>
                <c:pt idx="14">
                  <c:v>Israel</c:v>
                </c:pt>
                <c:pt idx="15">
                  <c:v>Italy</c:v>
                </c:pt>
                <c:pt idx="16">
                  <c:v>Japan</c:v>
                </c:pt>
                <c:pt idx="17">
                  <c:v>Malaysia</c:v>
                </c:pt>
                <c:pt idx="18">
                  <c:v>Mexico</c:v>
                </c:pt>
                <c:pt idx="19">
                  <c:v>Netherlands</c:v>
                </c:pt>
                <c:pt idx="20">
                  <c:v>Nigeria</c:v>
                </c:pt>
                <c:pt idx="21">
                  <c:v>Norway</c:v>
                </c:pt>
                <c:pt idx="22">
                  <c:v>Peru</c:v>
                </c:pt>
                <c:pt idx="23">
                  <c:v>Philippines</c:v>
                </c:pt>
                <c:pt idx="24">
                  <c:v>Russia</c:v>
                </c:pt>
                <c:pt idx="25">
                  <c:v>Saudi Arabia</c:v>
                </c:pt>
                <c:pt idx="26">
                  <c:v>Singapore</c:v>
                </c:pt>
                <c:pt idx="27">
                  <c:v>South Africa</c:v>
                </c:pt>
                <c:pt idx="28">
                  <c:v>South Korea</c:v>
                </c:pt>
                <c:pt idx="29">
                  <c:v>Spain</c:v>
                </c:pt>
                <c:pt idx="30">
                  <c:v>Sweden</c:v>
                </c:pt>
                <c:pt idx="31">
                  <c:v>Switzerland</c:v>
                </c:pt>
                <c:pt idx="32">
                  <c:v>Taiwan</c:v>
                </c:pt>
                <c:pt idx="33">
                  <c:v>Thailand</c:v>
                </c:pt>
                <c:pt idx="34">
                  <c:v>Turkey</c:v>
                </c:pt>
                <c:pt idx="35">
                  <c:v>UAE</c:v>
                </c:pt>
                <c:pt idx="36">
                  <c:v>United Kingdom</c:v>
                </c:pt>
                <c:pt idx="37">
                  <c:v>United States</c:v>
                </c:pt>
                <c:pt idx="38">
                  <c:v>Vietnam</c:v>
                </c:pt>
              </c:strCache>
            </c:strRef>
          </c:cat>
          <c:val>
            <c:numRef>
              <c:f>Sheet12!$AF$21:$AF$60</c:f>
              <c:numCache>
                <c:formatCode>General</c:formatCode>
                <c:ptCount val="39"/>
                <c:pt idx="0">
                  <c:v>211.4</c:v>
                </c:pt>
                <c:pt idx="1">
                  <c:v>3.8</c:v>
                </c:pt>
                <c:pt idx="2">
                  <c:v>4.5</c:v>
                </c:pt>
                <c:pt idx="3">
                  <c:v>2.8</c:v>
                </c:pt>
                <c:pt idx="4">
                  <c:v>4.0999999999999996</c:v>
                </c:pt>
                <c:pt idx="5">
                  <c:v>0.8</c:v>
                </c:pt>
                <c:pt idx="6">
                  <c:v>7.2</c:v>
                </c:pt>
                <c:pt idx="7">
                  <c:v>1.7</c:v>
                </c:pt>
                <c:pt idx="8">
                  <c:v>33.1</c:v>
                </c:pt>
                <c:pt idx="9">
                  <c:v>2.2999999999999998</c:v>
                </c:pt>
                <c:pt idx="10">
                  <c:v>2.2000000000000002</c:v>
                </c:pt>
                <c:pt idx="11">
                  <c:v>1.8</c:v>
                </c:pt>
                <c:pt idx="12">
                  <c:v>4.9000000000000004</c:v>
                </c:pt>
                <c:pt idx="13">
                  <c:v>2.8</c:v>
                </c:pt>
                <c:pt idx="14">
                  <c:v>2.2999999999999998</c:v>
                </c:pt>
                <c:pt idx="15">
                  <c:v>1</c:v>
                </c:pt>
                <c:pt idx="16">
                  <c:v>2.8</c:v>
                </c:pt>
                <c:pt idx="17">
                  <c:v>2</c:v>
                </c:pt>
                <c:pt idx="18">
                  <c:v>4.7</c:v>
                </c:pt>
                <c:pt idx="19">
                  <c:v>1.1000000000000001</c:v>
                </c:pt>
                <c:pt idx="20">
                  <c:v>21.8</c:v>
                </c:pt>
                <c:pt idx="21">
                  <c:v>3.1</c:v>
                </c:pt>
                <c:pt idx="22">
                  <c:v>2.8</c:v>
                </c:pt>
                <c:pt idx="23">
                  <c:v>3.7</c:v>
                </c:pt>
                <c:pt idx="24">
                  <c:v>7.4</c:v>
                </c:pt>
                <c:pt idx="25">
                  <c:v>-0.4</c:v>
                </c:pt>
                <c:pt idx="26">
                  <c:v>2.4</c:v>
                </c:pt>
                <c:pt idx="27">
                  <c:v>4.7</c:v>
                </c:pt>
                <c:pt idx="28">
                  <c:v>2.4</c:v>
                </c:pt>
                <c:pt idx="29">
                  <c:v>3.2</c:v>
                </c:pt>
                <c:pt idx="30">
                  <c:v>1.9</c:v>
                </c:pt>
                <c:pt idx="31">
                  <c:v>1.4</c:v>
                </c:pt>
                <c:pt idx="32">
                  <c:v>2.1</c:v>
                </c:pt>
                <c:pt idx="33">
                  <c:v>0.4</c:v>
                </c:pt>
                <c:pt idx="34">
                  <c:v>64.8</c:v>
                </c:pt>
                <c:pt idx="35">
                  <c:v>1.9</c:v>
                </c:pt>
                <c:pt idx="36">
                  <c:v>2</c:v>
                </c:pt>
                <c:pt idx="37">
                  <c:v>2.9</c:v>
                </c:pt>
                <c:pt idx="38">
                  <c:v>4.0999999999999996</c:v>
                </c:pt>
              </c:numCache>
            </c:numRef>
          </c:val>
          <c:extLst>
            <c:ext xmlns:c16="http://schemas.microsoft.com/office/drawing/2014/chart" uri="{C3380CC4-5D6E-409C-BE32-E72D297353CC}">
              <c16:uniqueId val="{00000001-4C42-F249-AB0F-E7130D32E58F}"/>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[Saravanan Milestone.xlsx]Sheet12!PivotTable16</c:name>
    <c:fmtId val="18"/>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line3DChart>
        <c:grouping val="standard"/>
        <c:varyColors val="0"/>
        <c:ser>
          <c:idx val="0"/>
          <c:order val="0"/>
          <c:tx>
            <c:strRef>
              <c:f>Sheet12!$BR$23</c:f>
              <c:strCache>
                <c:ptCount val="1"/>
                <c:pt idx="0">
                  <c:v>Sum of Unemployment_Rate_Percent</c:v>
                </c:pt>
              </c:strCache>
            </c:strRef>
          </c:tx>
          <c:spPr>
            <a:solidFill>
              <a:schemeClr val="accent1"/>
            </a:solidFill>
            <a:ln>
              <a:noFill/>
            </a:ln>
            <a:effectLst/>
            <a:sp3d/>
          </c:spPr>
          <c:cat>
            <c:strRef>
              <c:f>Sheet12!$BQ$24:$BQ$63</c:f>
              <c:strCache>
                <c:ptCount val="39"/>
                <c:pt idx="0">
                  <c:v>Argentina</c:v>
                </c:pt>
                <c:pt idx="1">
                  <c:v>Australia</c:v>
                </c:pt>
                <c:pt idx="2">
                  <c:v>Brazil</c:v>
                </c:pt>
                <c:pt idx="3">
                  <c:v>Canada</c:v>
                </c:pt>
                <c:pt idx="4">
                  <c:v>Chile</c:v>
                </c:pt>
                <c:pt idx="5">
                  <c:v>China</c:v>
                </c:pt>
                <c:pt idx="6">
                  <c:v>Colombia</c:v>
                </c:pt>
                <c:pt idx="7">
                  <c:v>Denmark</c:v>
                </c:pt>
                <c:pt idx="8">
                  <c:v>Egypt</c:v>
                </c:pt>
                <c:pt idx="9">
                  <c:v>France</c:v>
                </c:pt>
                <c:pt idx="10">
                  <c:v>Germany</c:v>
                </c:pt>
                <c:pt idx="11">
                  <c:v>Hong Kong</c:v>
                </c:pt>
                <c:pt idx="12">
                  <c:v>India</c:v>
                </c:pt>
                <c:pt idx="13">
                  <c:v>Indonesia</c:v>
                </c:pt>
                <c:pt idx="14">
                  <c:v>Israel</c:v>
                </c:pt>
                <c:pt idx="15">
                  <c:v>Italy</c:v>
                </c:pt>
                <c:pt idx="16">
                  <c:v>Japan</c:v>
                </c:pt>
                <c:pt idx="17">
                  <c:v>Malaysia</c:v>
                </c:pt>
                <c:pt idx="18">
                  <c:v>Mexico</c:v>
                </c:pt>
                <c:pt idx="19">
                  <c:v>Netherlands</c:v>
                </c:pt>
                <c:pt idx="20">
                  <c:v>Nigeria</c:v>
                </c:pt>
                <c:pt idx="21">
                  <c:v>Norway</c:v>
                </c:pt>
                <c:pt idx="22">
                  <c:v>Peru</c:v>
                </c:pt>
                <c:pt idx="23">
                  <c:v>Philippines</c:v>
                </c:pt>
                <c:pt idx="24">
                  <c:v>Russia</c:v>
                </c:pt>
                <c:pt idx="25">
                  <c:v>Saudi Arabia</c:v>
                </c:pt>
                <c:pt idx="26">
                  <c:v>Singapore</c:v>
                </c:pt>
                <c:pt idx="27">
                  <c:v>South Africa</c:v>
                </c:pt>
                <c:pt idx="28">
                  <c:v>South Korea</c:v>
                </c:pt>
                <c:pt idx="29">
                  <c:v>Spain</c:v>
                </c:pt>
                <c:pt idx="30">
                  <c:v>Sweden</c:v>
                </c:pt>
                <c:pt idx="31">
                  <c:v>Switzerland</c:v>
                </c:pt>
                <c:pt idx="32">
                  <c:v>Taiwan</c:v>
                </c:pt>
                <c:pt idx="33">
                  <c:v>Thailand</c:v>
                </c:pt>
                <c:pt idx="34">
                  <c:v>Turkey</c:v>
                </c:pt>
                <c:pt idx="35">
                  <c:v>UAE</c:v>
                </c:pt>
                <c:pt idx="36">
                  <c:v>United Kingdom</c:v>
                </c:pt>
                <c:pt idx="37">
                  <c:v>United States</c:v>
                </c:pt>
                <c:pt idx="38">
                  <c:v>Vietnam</c:v>
                </c:pt>
              </c:strCache>
            </c:strRef>
          </c:cat>
          <c:val>
            <c:numRef>
              <c:f>Sheet12!$BR$24:$BR$63</c:f>
              <c:numCache>
                <c:formatCode>General</c:formatCode>
                <c:ptCount val="39"/>
                <c:pt idx="0">
                  <c:v>6.2</c:v>
                </c:pt>
                <c:pt idx="1">
                  <c:v>4.0999999999999996</c:v>
                </c:pt>
                <c:pt idx="2">
                  <c:v>7.8</c:v>
                </c:pt>
                <c:pt idx="3">
                  <c:v>6.1</c:v>
                </c:pt>
                <c:pt idx="4">
                  <c:v>8.8000000000000007</c:v>
                </c:pt>
                <c:pt idx="5">
                  <c:v>5.2</c:v>
                </c:pt>
                <c:pt idx="6">
                  <c:v>10.199999999999999</c:v>
                </c:pt>
                <c:pt idx="7">
                  <c:v>5.0999999999999996</c:v>
                </c:pt>
                <c:pt idx="8">
                  <c:v>7.2</c:v>
                </c:pt>
                <c:pt idx="9">
                  <c:v>7.4</c:v>
                </c:pt>
                <c:pt idx="10">
                  <c:v>3.1</c:v>
                </c:pt>
                <c:pt idx="11">
                  <c:v>2.8</c:v>
                </c:pt>
                <c:pt idx="12">
                  <c:v>3.2</c:v>
                </c:pt>
                <c:pt idx="13">
                  <c:v>5.4</c:v>
                </c:pt>
                <c:pt idx="14">
                  <c:v>3.4</c:v>
                </c:pt>
                <c:pt idx="15">
                  <c:v>7.6</c:v>
                </c:pt>
                <c:pt idx="16">
                  <c:v>2.4</c:v>
                </c:pt>
                <c:pt idx="17">
                  <c:v>3.4</c:v>
                </c:pt>
                <c:pt idx="18">
                  <c:v>2.8</c:v>
                </c:pt>
                <c:pt idx="19">
                  <c:v>3.6</c:v>
                </c:pt>
                <c:pt idx="20">
                  <c:v>5.0999999999999996</c:v>
                </c:pt>
                <c:pt idx="21">
                  <c:v>3.4</c:v>
                </c:pt>
                <c:pt idx="22">
                  <c:v>6.4</c:v>
                </c:pt>
                <c:pt idx="23">
                  <c:v>5.9</c:v>
                </c:pt>
                <c:pt idx="24">
                  <c:v>3.4</c:v>
                </c:pt>
                <c:pt idx="25">
                  <c:v>5.8</c:v>
                </c:pt>
                <c:pt idx="26">
                  <c:v>2.1</c:v>
                </c:pt>
                <c:pt idx="27">
                  <c:v>28.7</c:v>
                </c:pt>
                <c:pt idx="28">
                  <c:v>2.9</c:v>
                </c:pt>
                <c:pt idx="29">
                  <c:v>11.5</c:v>
                </c:pt>
                <c:pt idx="30">
                  <c:v>7.8</c:v>
                </c:pt>
                <c:pt idx="31">
                  <c:v>2.4</c:v>
                </c:pt>
                <c:pt idx="32">
                  <c:v>3.7</c:v>
                </c:pt>
                <c:pt idx="33">
                  <c:v>1.2</c:v>
                </c:pt>
                <c:pt idx="34">
                  <c:v>10.5</c:v>
                </c:pt>
                <c:pt idx="35">
                  <c:v>2.8</c:v>
                </c:pt>
                <c:pt idx="36">
                  <c:v>4.2</c:v>
                </c:pt>
                <c:pt idx="37">
                  <c:v>3.7</c:v>
                </c:pt>
                <c:pt idx="38">
                  <c:v>12.3</c:v>
                </c:pt>
              </c:numCache>
            </c:numRef>
          </c:val>
          <c:smooth val="0"/>
          <c:extLst>
            <c:ext xmlns:c16="http://schemas.microsoft.com/office/drawing/2014/chart" uri="{C3380CC4-5D6E-409C-BE32-E72D297353CC}">
              <c16:uniqueId val="{00000000-4651-4E40-9C96-FDA28FB14C1E}"/>
            </c:ext>
          </c:extLst>
        </c:ser>
        <c:ser>
          <c:idx val="1"/>
          <c:order val="1"/>
          <c:tx>
            <c:strRef>
              <c:f>Sheet12!$BS$23</c:f>
              <c:strCache>
                <c:ptCount val="1"/>
                <c:pt idx="0">
                  <c:v>Sum of Interest_Rate_Percent</c:v>
                </c:pt>
              </c:strCache>
            </c:strRef>
          </c:tx>
          <c:spPr>
            <a:solidFill>
              <a:schemeClr val="accent2"/>
            </a:solidFill>
            <a:ln>
              <a:noFill/>
            </a:ln>
            <a:effectLst/>
            <a:sp3d/>
          </c:spPr>
          <c:cat>
            <c:strRef>
              <c:f>Sheet12!$BQ$24:$BQ$63</c:f>
              <c:strCache>
                <c:ptCount val="39"/>
                <c:pt idx="0">
                  <c:v>Argentina</c:v>
                </c:pt>
                <c:pt idx="1">
                  <c:v>Australia</c:v>
                </c:pt>
                <c:pt idx="2">
                  <c:v>Brazil</c:v>
                </c:pt>
                <c:pt idx="3">
                  <c:v>Canada</c:v>
                </c:pt>
                <c:pt idx="4">
                  <c:v>Chile</c:v>
                </c:pt>
                <c:pt idx="5">
                  <c:v>China</c:v>
                </c:pt>
                <c:pt idx="6">
                  <c:v>Colombia</c:v>
                </c:pt>
                <c:pt idx="7">
                  <c:v>Denmark</c:v>
                </c:pt>
                <c:pt idx="8">
                  <c:v>Egypt</c:v>
                </c:pt>
                <c:pt idx="9">
                  <c:v>France</c:v>
                </c:pt>
                <c:pt idx="10">
                  <c:v>Germany</c:v>
                </c:pt>
                <c:pt idx="11">
                  <c:v>Hong Kong</c:v>
                </c:pt>
                <c:pt idx="12">
                  <c:v>India</c:v>
                </c:pt>
                <c:pt idx="13">
                  <c:v>Indonesia</c:v>
                </c:pt>
                <c:pt idx="14">
                  <c:v>Israel</c:v>
                </c:pt>
                <c:pt idx="15">
                  <c:v>Italy</c:v>
                </c:pt>
                <c:pt idx="16">
                  <c:v>Japan</c:v>
                </c:pt>
                <c:pt idx="17">
                  <c:v>Malaysia</c:v>
                </c:pt>
                <c:pt idx="18">
                  <c:v>Mexico</c:v>
                </c:pt>
                <c:pt idx="19">
                  <c:v>Netherlands</c:v>
                </c:pt>
                <c:pt idx="20">
                  <c:v>Nigeria</c:v>
                </c:pt>
                <c:pt idx="21">
                  <c:v>Norway</c:v>
                </c:pt>
                <c:pt idx="22">
                  <c:v>Peru</c:v>
                </c:pt>
                <c:pt idx="23">
                  <c:v>Philippines</c:v>
                </c:pt>
                <c:pt idx="24">
                  <c:v>Russia</c:v>
                </c:pt>
                <c:pt idx="25">
                  <c:v>Saudi Arabia</c:v>
                </c:pt>
                <c:pt idx="26">
                  <c:v>Singapore</c:v>
                </c:pt>
                <c:pt idx="27">
                  <c:v>South Africa</c:v>
                </c:pt>
                <c:pt idx="28">
                  <c:v>South Korea</c:v>
                </c:pt>
                <c:pt idx="29">
                  <c:v>Spain</c:v>
                </c:pt>
                <c:pt idx="30">
                  <c:v>Sweden</c:v>
                </c:pt>
                <c:pt idx="31">
                  <c:v>Switzerland</c:v>
                </c:pt>
                <c:pt idx="32">
                  <c:v>Taiwan</c:v>
                </c:pt>
                <c:pt idx="33">
                  <c:v>Thailand</c:v>
                </c:pt>
                <c:pt idx="34">
                  <c:v>Turkey</c:v>
                </c:pt>
                <c:pt idx="35">
                  <c:v>UAE</c:v>
                </c:pt>
                <c:pt idx="36">
                  <c:v>United Kingdom</c:v>
                </c:pt>
                <c:pt idx="37">
                  <c:v>United States</c:v>
                </c:pt>
                <c:pt idx="38">
                  <c:v>Vietnam</c:v>
                </c:pt>
              </c:strCache>
            </c:strRef>
          </c:cat>
          <c:val>
            <c:numRef>
              <c:f>Sheet12!$BS$24:$BS$63</c:f>
              <c:numCache>
                <c:formatCode>General</c:formatCode>
                <c:ptCount val="39"/>
                <c:pt idx="0">
                  <c:v>133</c:v>
                </c:pt>
                <c:pt idx="1">
                  <c:v>4.3499999999999996</c:v>
                </c:pt>
                <c:pt idx="2">
                  <c:v>10.75</c:v>
                </c:pt>
                <c:pt idx="3">
                  <c:v>4.75</c:v>
                </c:pt>
                <c:pt idx="4">
                  <c:v>5.75</c:v>
                </c:pt>
                <c:pt idx="5">
                  <c:v>3.1</c:v>
                </c:pt>
                <c:pt idx="6">
                  <c:v>10.75</c:v>
                </c:pt>
                <c:pt idx="7">
                  <c:v>3.6</c:v>
                </c:pt>
                <c:pt idx="8">
                  <c:v>27.25</c:v>
                </c:pt>
                <c:pt idx="9">
                  <c:v>4.5</c:v>
                </c:pt>
                <c:pt idx="10">
                  <c:v>4.5</c:v>
                </c:pt>
                <c:pt idx="11">
                  <c:v>5.75</c:v>
                </c:pt>
                <c:pt idx="12">
                  <c:v>6.5</c:v>
                </c:pt>
                <c:pt idx="13">
                  <c:v>6</c:v>
                </c:pt>
                <c:pt idx="14">
                  <c:v>4.75</c:v>
                </c:pt>
                <c:pt idx="15">
                  <c:v>4.5</c:v>
                </c:pt>
                <c:pt idx="16">
                  <c:v>-0.1</c:v>
                </c:pt>
                <c:pt idx="17">
                  <c:v>3</c:v>
                </c:pt>
                <c:pt idx="18">
                  <c:v>11</c:v>
                </c:pt>
                <c:pt idx="19">
                  <c:v>4.5</c:v>
                </c:pt>
                <c:pt idx="20">
                  <c:v>18.75</c:v>
                </c:pt>
                <c:pt idx="21">
                  <c:v>4.5</c:v>
                </c:pt>
                <c:pt idx="22">
                  <c:v>5.75</c:v>
                </c:pt>
                <c:pt idx="23">
                  <c:v>6.5</c:v>
                </c:pt>
                <c:pt idx="24">
                  <c:v>16</c:v>
                </c:pt>
                <c:pt idx="25">
                  <c:v>6</c:v>
                </c:pt>
                <c:pt idx="26">
                  <c:v>3.5</c:v>
                </c:pt>
                <c:pt idx="27">
                  <c:v>8.25</c:v>
                </c:pt>
                <c:pt idx="28">
                  <c:v>3.5</c:v>
                </c:pt>
                <c:pt idx="29">
                  <c:v>4.5</c:v>
                </c:pt>
                <c:pt idx="30">
                  <c:v>3.75</c:v>
                </c:pt>
                <c:pt idx="31">
                  <c:v>1.25</c:v>
                </c:pt>
                <c:pt idx="32">
                  <c:v>1.5</c:v>
                </c:pt>
                <c:pt idx="33">
                  <c:v>2.5</c:v>
                </c:pt>
                <c:pt idx="34">
                  <c:v>50</c:v>
                </c:pt>
                <c:pt idx="35">
                  <c:v>5.4</c:v>
                </c:pt>
                <c:pt idx="36">
                  <c:v>5.25</c:v>
                </c:pt>
                <c:pt idx="37">
                  <c:v>5.5</c:v>
                </c:pt>
                <c:pt idx="38">
                  <c:v>4.5</c:v>
                </c:pt>
              </c:numCache>
            </c:numRef>
          </c:val>
          <c:smooth val="0"/>
          <c:extLst>
            <c:ext xmlns:c16="http://schemas.microsoft.com/office/drawing/2014/chart" uri="{C3380CC4-5D6E-409C-BE32-E72D297353CC}">
              <c16:uniqueId val="{00000001-4651-4E40-9C96-FDA28FB14C1E}"/>
            </c:ext>
          </c:extLst>
        </c:ser>
        <c:dLbls>
          <c:showLegendKey val="0"/>
          <c:showVal val="0"/>
          <c:showCatName val="0"/>
          <c:showSerName val="0"/>
          <c:showPercent val="0"/>
          <c:showBubbleSize val="0"/>
        </c:dLbls>
        <c:axId val="175926943"/>
        <c:axId val="134647615"/>
        <c:axId val="185042031"/>
      </c:line3DChart>
      <c:catAx>
        <c:axId val="17592694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647615"/>
        <c:crosses val="autoZero"/>
        <c:auto val="1"/>
        <c:lblAlgn val="ctr"/>
        <c:lblOffset val="100"/>
        <c:noMultiLvlLbl val="0"/>
      </c:catAx>
      <c:valAx>
        <c:axId val="1346476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926943"/>
        <c:crosses val="autoZero"/>
        <c:crossBetween val="between"/>
      </c:valAx>
      <c:serAx>
        <c:axId val="185042031"/>
        <c:scaling>
          <c:orientation val="minMax"/>
        </c:scaling>
        <c:delete val="0"/>
        <c:axPos val="b"/>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647615"/>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[Saravanan Milestone.xlsx]Sheet12!PivotTable17</c:name>
    <c:fmtId val="2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Sheet12!$CU$25</c:f>
              <c:strCache>
                <c:ptCount val="1"/>
                <c:pt idx="0">
                  <c:v>Total</c:v>
                </c:pt>
              </c:strCache>
            </c:strRef>
          </c:tx>
          <c:spPr>
            <a:solidFill>
              <a:schemeClr val="accent1"/>
            </a:solidFill>
            <a:ln>
              <a:noFill/>
            </a:ln>
            <a:effectLst/>
            <a:sp3d/>
          </c:spPr>
          <c:invertIfNegative val="0"/>
          <c:cat>
            <c:strRef>
              <c:f>Sheet12!$CT$26:$CT$65</c:f>
              <c:strCache>
                <c:ptCount val="39"/>
                <c:pt idx="0">
                  <c:v>Argentina</c:v>
                </c:pt>
                <c:pt idx="1">
                  <c:v>Australia</c:v>
                </c:pt>
                <c:pt idx="2">
                  <c:v>Brazil</c:v>
                </c:pt>
                <c:pt idx="3">
                  <c:v>Canada</c:v>
                </c:pt>
                <c:pt idx="4">
                  <c:v>Chile</c:v>
                </c:pt>
                <c:pt idx="5">
                  <c:v>China</c:v>
                </c:pt>
                <c:pt idx="6">
                  <c:v>Colombia</c:v>
                </c:pt>
                <c:pt idx="7">
                  <c:v>Denmark</c:v>
                </c:pt>
                <c:pt idx="8">
                  <c:v>Egypt</c:v>
                </c:pt>
                <c:pt idx="9">
                  <c:v>France</c:v>
                </c:pt>
                <c:pt idx="10">
                  <c:v>Germany</c:v>
                </c:pt>
                <c:pt idx="11">
                  <c:v>Hong Kong</c:v>
                </c:pt>
                <c:pt idx="12">
                  <c:v>India</c:v>
                </c:pt>
                <c:pt idx="13">
                  <c:v>Indonesia</c:v>
                </c:pt>
                <c:pt idx="14">
                  <c:v>Israel</c:v>
                </c:pt>
                <c:pt idx="15">
                  <c:v>Italy</c:v>
                </c:pt>
                <c:pt idx="16">
                  <c:v>Japan</c:v>
                </c:pt>
                <c:pt idx="17">
                  <c:v>Malaysia</c:v>
                </c:pt>
                <c:pt idx="18">
                  <c:v>Mexico</c:v>
                </c:pt>
                <c:pt idx="19">
                  <c:v>Netherlands</c:v>
                </c:pt>
                <c:pt idx="20">
                  <c:v>Nigeria</c:v>
                </c:pt>
                <c:pt idx="21">
                  <c:v>Norway</c:v>
                </c:pt>
                <c:pt idx="22">
                  <c:v>Peru</c:v>
                </c:pt>
                <c:pt idx="23">
                  <c:v>Philippines</c:v>
                </c:pt>
                <c:pt idx="24">
                  <c:v>Russia</c:v>
                </c:pt>
                <c:pt idx="25">
                  <c:v>Saudi Arabia</c:v>
                </c:pt>
                <c:pt idx="26">
                  <c:v>Singapore</c:v>
                </c:pt>
                <c:pt idx="27">
                  <c:v>South Africa</c:v>
                </c:pt>
                <c:pt idx="28">
                  <c:v>South Korea</c:v>
                </c:pt>
                <c:pt idx="29">
                  <c:v>Spain</c:v>
                </c:pt>
                <c:pt idx="30">
                  <c:v>Sweden</c:v>
                </c:pt>
                <c:pt idx="31">
                  <c:v>Switzerland</c:v>
                </c:pt>
                <c:pt idx="32">
                  <c:v>Taiwan</c:v>
                </c:pt>
                <c:pt idx="33">
                  <c:v>Thailand</c:v>
                </c:pt>
                <c:pt idx="34">
                  <c:v>Turkey</c:v>
                </c:pt>
                <c:pt idx="35">
                  <c:v>UAE</c:v>
                </c:pt>
                <c:pt idx="36">
                  <c:v>United Kingdom</c:v>
                </c:pt>
                <c:pt idx="37">
                  <c:v>United States</c:v>
                </c:pt>
                <c:pt idx="38">
                  <c:v>Vietnam</c:v>
                </c:pt>
              </c:strCache>
            </c:strRef>
          </c:cat>
          <c:val>
            <c:numRef>
              <c:f>Sheet12!$CU$26:$CU$65</c:f>
              <c:numCache>
                <c:formatCode>General</c:formatCode>
                <c:ptCount val="39"/>
                <c:pt idx="0">
                  <c:v>78.900000000000006</c:v>
                </c:pt>
                <c:pt idx="1">
                  <c:v>45.1</c:v>
                </c:pt>
                <c:pt idx="2">
                  <c:v>87.7</c:v>
                </c:pt>
                <c:pt idx="3">
                  <c:v>106.7</c:v>
                </c:pt>
                <c:pt idx="4">
                  <c:v>37.799999999999997</c:v>
                </c:pt>
                <c:pt idx="5">
                  <c:v>77.099999999999994</c:v>
                </c:pt>
                <c:pt idx="6">
                  <c:v>56.7</c:v>
                </c:pt>
                <c:pt idx="7">
                  <c:v>29.8</c:v>
                </c:pt>
                <c:pt idx="8">
                  <c:v>89.7</c:v>
                </c:pt>
                <c:pt idx="9">
                  <c:v>111.8</c:v>
                </c:pt>
                <c:pt idx="10">
                  <c:v>66.3</c:v>
                </c:pt>
                <c:pt idx="11">
                  <c:v>0.1</c:v>
                </c:pt>
                <c:pt idx="12">
                  <c:v>84.2</c:v>
                </c:pt>
                <c:pt idx="13">
                  <c:v>39.799999999999997</c:v>
                </c:pt>
                <c:pt idx="14">
                  <c:v>60.9</c:v>
                </c:pt>
                <c:pt idx="15">
                  <c:v>144.4</c:v>
                </c:pt>
                <c:pt idx="16">
                  <c:v>263.10000000000002</c:v>
                </c:pt>
                <c:pt idx="17">
                  <c:v>70.099999999999994</c:v>
                </c:pt>
                <c:pt idx="18">
                  <c:v>54.7</c:v>
                </c:pt>
                <c:pt idx="19">
                  <c:v>52.4</c:v>
                </c:pt>
                <c:pt idx="20">
                  <c:v>37.1</c:v>
                </c:pt>
                <c:pt idx="21">
                  <c:v>45.7</c:v>
                </c:pt>
                <c:pt idx="22">
                  <c:v>34.200000000000003</c:v>
                </c:pt>
                <c:pt idx="23">
                  <c:v>63.5</c:v>
                </c:pt>
                <c:pt idx="24">
                  <c:v>21.4</c:v>
                </c:pt>
                <c:pt idx="25">
                  <c:v>26.7</c:v>
                </c:pt>
                <c:pt idx="26">
                  <c:v>130.1</c:v>
                </c:pt>
                <c:pt idx="27">
                  <c:v>71.099999999999994</c:v>
                </c:pt>
                <c:pt idx="28">
                  <c:v>54.6</c:v>
                </c:pt>
                <c:pt idx="29">
                  <c:v>107.7</c:v>
                </c:pt>
                <c:pt idx="30">
                  <c:v>35.1</c:v>
                </c:pt>
                <c:pt idx="31">
                  <c:v>41</c:v>
                </c:pt>
                <c:pt idx="32">
                  <c:v>28.7</c:v>
                </c:pt>
                <c:pt idx="33">
                  <c:v>61.4</c:v>
                </c:pt>
                <c:pt idx="34">
                  <c:v>32.1</c:v>
                </c:pt>
                <c:pt idx="35">
                  <c:v>34.5</c:v>
                </c:pt>
                <c:pt idx="36">
                  <c:v>101.2</c:v>
                </c:pt>
                <c:pt idx="37">
                  <c:v>126.4</c:v>
                </c:pt>
                <c:pt idx="38">
                  <c:v>43.1</c:v>
                </c:pt>
              </c:numCache>
            </c:numRef>
          </c:val>
          <c:extLst>
            <c:ext xmlns:c16="http://schemas.microsoft.com/office/drawing/2014/chart" uri="{C3380CC4-5D6E-409C-BE32-E72D297353CC}">
              <c16:uniqueId val="{00000000-9152-9147-A05F-F58CCA2DE933}"/>
            </c:ext>
          </c:extLst>
        </c:ser>
        <c:dLbls>
          <c:showLegendKey val="0"/>
          <c:showVal val="0"/>
          <c:showCatName val="0"/>
          <c:showSerName val="0"/>
          <c:showPercent val="0"/>
          <c:showBubbleSize val="0"/>
        </c:dLbls>
        <c:gapWidth val="150"/>
        <c:shape val="box"/>
        <c:axId val="130419503"/>
        <c:axId val="131459455"/>
        <c:axId val="0"/>
      </c:bar3DChart>
      <c:catAx>
        <c:axId val="13041950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459455"/>
        <c:crosses val="autoZero"/>
        <c:auto val="1"/>
        <c:lblAlgn val="ctr"/>
        <c:lblOffset val="100"/>
        <c:noMultiLvlLbl val="0"/>
      </c:catAx>
      <c:valAx>
        <c:axId val="13145945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4195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[Saravanan Milestone.xlsx]Sheet12!PivotTable18</c:name>
    <c:fmtId val="22"/>
  </c:pivotSource>
  <c:chart>
    <c:autoTitleDeleted val="0"/>
    <c:pivotFmts>
      <c:pivotFmt>
        <c:idx val="0"/>
        <c:spPr>
          <a:solidFill>
            <a:schemeClr val="accent1"/>
          </a:solid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surface3DChart>
        <c:wireframe val="0"/>
        <c:ser>
          <c:idx val="0"/>
          <c:order val="0"/>
          <c:tx>
            <c:strRef>
              <c:f>Sheet12!$DD$23</c:f>
              <c:strCache>
                <c:ptCount val="1"/>
                <c:pt idx="0">
                  <c:v>Sum of Export_Growth_Percent</c:v>
                </c:pt>
              </c:strCache>
            </c:strRef>
          </c:tx>
          <c:spPr>
            <a:solidFill>
              <a:schemeClr val="accent1"/>
            </a:solidFill>
            <a:ln/>
            <a:effectLst/>
            <a:sp3d/>
          </c:spPr>
          <c:cat>
            <c:strRef>
              <c:f>Sheet12!$DC$24:$DC$63</c:f>
              <c:strCache>
                <c:ptCount val="39"/>
                <c:pt idx="0">
                  <c:v>Argentina</c:v>
                </c:pt>
                <c:pt idx="1">
                  <c:v>Australia</c:v>
                </c:pt>
                <c:pt idx="2">
                  <c:v>Brazil</c:v>
                </c:pt>
                <c:pt idx="3">
                  <c:v>Canada</c:v>
                </c:pt>
                <c:pt idx="4">
                  <c:v>Chile</c:v>
                </c:pt>
                <c:pt idx="5">
                  <c:v>China</c:v>
                </c:pt>
                <c:pt idx="6">
                  <c:v>Colombia</c:v>
                </c:pt>
                <c:pt idx="7">
                  <c:v>Denmark</c:v>
                </c:pt>
                <c:pt idx="8">
                  <c:v>Egypt</c:v>
                </c:pt>
                <c:pt idx="9">
                  <c:v>France</c:v>
                </c:pt>
                <c:pt idx="10">
                  <c:v>Germany</c:v>
                </c:pt>
                <c:pt idx="11">
                  <c:v>Hong Kong</c:v>
                </c:pt>
                <c:pt idx="12">
                  <c:v>India</c:v>
                </c:pt>
                <c:pt idx="13">
                  <c:v>Indonesia</c:v>
                </c:pt>
                <c:pt idx="14">
                  <c:v>Israel</c:v>
                </c:pt>
                <c:pt idx="15">
                  <c:v>Italy</c:v>
                </c:pt>
                <c:pt idx="16">
                  <c:v>Japan</c:v>
                </c:pt>
                <c:pt idx="17">
                  <c:v>Malaysia</c:v>
                </c:pt>
                <c:pt idx="18">
                  <c:v>Mexico</c:v>
                </c:pt>
                <c:pt idx="19">
                  <c:v>Netherlands</c:v>
                </c:pt>
                <c:pt idx="20">
                  <c:v>Nigeria</c:v>
                </c:pt>
                <c:pt idx="21">
                  <c:v>Norway</c:v>
                </c:pt>
                <c:pt idx="22">
                  <c:v>Peru</c:v>
                </c:pt>
                <c:pt idx="23">
                  <c:v>Philippines</c:v>
                </c:pt>
                <c:pt idx="24">
                  <c:v>Russia</c:v>
                </c:pt>
                <c:pt idx="25">
                  <c:v>Saudi Arabia</c:v>
                </c:pt>
                <c:pt idx="26">
                  <c:v>Singapore</c:v>
                </c:pt>
                <c:pt idx="27">
                  <c:v>South Africa</c:v>
                </c:pt>
                <c:pt idx="28">
                  <c:v>South Korea</c:v>
                </c:pt>
                <c:pt idx="29">
                  <c:v>Spain</c:v>
                </c:pt>
                <c:pt idx="30">
                  <c:v>Sweden</c:v>
                </c:pt>
                <c:pt idx="31">
                  <c:v>Switzerland</c:v>
                </c:pt>
                <c:pt idx="32">
                  <c:v>Taiwan</c:v>
                </c:pt>
                <c:pt idx="33">
                  <c:v>Thailand</c:v>
                </c:pt>
                <c:pt idx="34">
                  <c:v>Turkey</c:v>
                </c:pt>
                <c:pt idx="35">
                  <c:v>UAE</c:v>
                </c:pt>
                <c:pt idx="36">
                  <c:v>United Kingdom</c:v>
                </c:pt>
                <c:pt idx="37">
                  <c:v>United States</c:v>
                </c:pt>
                <c:pt idx="38">
                  <c:v>Vietnam</c:v>
                </c:pt>
              </c:strCache>
            </c:strRef>
          </c:cat>
          <c:val>
            <c:numRef>
              <c:f>Sheet12!$DD$24:$DD$63</c:f>
              <c:numCache>
                <c:formatCode>General</c:formatCode>
                <c:ptCount val="39"/>
                <c:pt idx="0">
                  <c:v>-12.3</c:v>
                </c:pt>
                <c:pt idx="1">
                  <c:v>6.2</c:v>
                </c:pt>
                <c:pt idx="2">
                  <c:v>8.6999999999999993</c:v>
                </c:pt>
                <c:pt idx="3">
                  <c:v>4.0999999999999996</c:v>
                </c:pt>
                <c:pt idx="4">
                  <c:v>6.7</c:v>
                </c:pt>
                <c:pt idx="5">
                  <c:v>8.9</c:v>
                </c:pt>
                <c:pt idx="6">
                  <c:v>8.9</c:v>
                </c:pt>
                <c:pt idx="7">
                  <c:v>2.1</c:v>
                </c:pt>
                <c:pt idx="8">
                  <c:v>12.3</c:v>
                </c:pt>
                <c:pt idx="9">
                  <c:v>1.8</c:v>
                </c:pt>
                <c:pt idx="10">
                  <c:v>2.1</c:v>
                </c:pt>
                <c:pt idx="11">
                  <c:v>6.7</c:v>
                </c:pt>
                <c:pt idx="12">
                  <c:v>13.2</c:v>
                </c:pt>
                <c:pt idx="13">
                  <c:v>8.9</c:v>
                </c:pt>
                <c:pt idx="14">
                  <c:v>5.6</c:v>
                </c:pt>
                <c:pt idx="15">
                  <c:v>3.2</c:v>
                </c:pt>
                <c:pt idx="16">
                  <c:v>5.0999999999999996</c:v>
                </c:pt>
                <c:pt idx="17">
                  <c:v>6.7</c:v>
                </c:pt>
                <c:pt idx="18">
                  <c:v>7.9</c:v>
                </c:pt>
                <c:pt idx="19">
                  <c:v>2.8</c:v>
                </c:pt>
                <c:pt idx="20">
                  <c:v>23.4</c:v>
                </c:pt>
                <c:pt idx="21">
                  <c:v>8.9</c:v>
                </c:pt>
                <c:pt idx="22">
                  <c:v>9.8000000000000007</c:v>
                </c:pt>
                <c:pt idx="23">
                  <c:v>8.1</c:v>
                </c:pt>
                <c:pt idx="24">
                  <c:v>15.2</c:v>
                </c:pt>
                <c:pt idx="25">
                  <c:v>12.3</c:v>
                </c:pt>
                <c:pt idx="26">
                  <c:v>12.4</c:v>
                </c:pt>
                <c:pt idx="27">
                  <c:v>2.1</c:v>
                </c:pt>
                <c:pt idx="28">
                  <c:v>9.1</c:v>
                </c:pt>
                <c:pt idx="29">
                  <c:v>4.0999999999999996</c:v>
                </c:pt>
                <c:pt idx="30">
                  <c:v>3.4</c:v>
                </c:pt>
                <c:pt idx="31">
                  <c:v>1.9</c:v>
                </c:pt>
                <c:pt idx="32">
                  <c:v>15.2</c:v>
                </c:pt>
                <c:pt idx="33">
                  <c:v>4.0999999999999996</c:v>
                </c:pt>
                <c:pt idx="34">
                  <c:v>3.4</c:v>
                </c:pt>
                <c:pt idx="35">
                  <c:v>23.4</c:v>
                </c:pt>
                <c:pt idx="36">
                  <c:v>0.9</c:v>
                </c:pt>
                <c:pt idx="37">
                  <c:v>3.2</c:v>
                </c:pt>
                <c:pt idx="38">
                  <c:v>12.8</c:v>
                </c:pt>
              </c:numCache>
            </c:numRef>
          </c:val>
          <c:extLst>
            <c:ext xmlns:c16="http://schemas.microsoft.com/office/drawing/2014/chart" uri="{C3380CC4-5D6E-409C-BE32-E72D297353CC}">
              <c16:uniqueId val="{00000000-7A6E-AE48-8C31-1946F5BAC744}"/>
            </c:ext>
          </c:extLst>
        </c:ser>
        <c:ser>
          <c:idx val="1"/>
          <c:order val="1"/>
          <c:tx>
            <c:strRef>
              <c:f>Sheet12!$DE$23</c:f>
              <c:strCache>
                <c:ptCount val="1"/>
                <c:pt idx="0">
                  <c:v>Sum of Import_Growth_Percent</c:v>
                </c:pt>
              </c:strCache>
            </c:strRef>
          </c:tx>
          <c:spPr>
            <a:solidFill>
              <a:schemeClr val="accent2"/>
            </a:solidFill>
            <a:ln/>
            <a:effectLst/>
            <a:sp3d/>
          </c:spPr>
          <c:cat>
            <c:strRef>
              <c:f>Sheet12!$DC$24:$DC$63</c:f>
              <c:strCache>
                <c:ptCount val="39"/>
                <c:pt idx="0">
                  <c:v>Argentina</c:v>
                </c:pt>
                <c:pt idx="1">
                  <c:v>Australia</c:v>
                </c:pt>
                <c:pt idx="2">
                  <c:v>Brazil</c:v>
                </c:pt>
                <c:pt idx="3">
                  <c:v>Canada</c:v>
                </c:pt>
                <c:pt idx="4">
                  <c:v>Chile</c:v>
                </c:pt>
                <c:pt idx="5">
                  <c:v>China</c:v>
                </c:pt>
                <c:pt idx="6">
                  <c:v>Colombia</c:v>
                </c:pt>
                <c:pt idx="7">
                  <c:v>Denmark</c:v>
                </c:pt>
                <c:pt idx="8">
                  <c:v>Egypt</c:v>
                </c:pt>
                <c:pt idx="9">
                  <c:v>France</c:v>
                </c:pt>
                <c:pt idx="10">
                  <c:v>Germany</c:v>
                </c:pt>
                <c:pt idx="11">
                  <c:v>Hong Kong</c:v>
                </c:pt>
                <c:pt idx="12">
                  <c:v>India</c:v>
                </c:pt>
                <c:pt idx="13">
                  <c:v>Indonesia</c:v>
                </c:pt>
                <c:pt idx="14">
                  <c:v>Israel</c:v>
                </c:pt>
                <c:pt idx="15">
                  <c:v>Italy</c:v>
                </c:pt>
                <c:pt idx="16">
                  <c:v>Japan</c:v>
                </c:pt>
                <c:pt idx="17">
                  <c:v>Malaysia</c:v>
                </c:pt>
                <c:pt idx="18">
                  <c:v>Mexico</c:v>
                </c:pt>
                <c:pt idx="19">
                  <c:v>Netherlands</c:v>
                </c:pt>
                <c:pt idx="20">
                  <c:v>Nigeria</c:v>
                </c:pt>
                <c:pt idx="21">
                  <c:v>Norway</c:v>
                </c:pt>
                <c:pt idx="22">
                  <c:v>Peru</c:v>
                </c:pt>
                <c:pt idx="23">
                  <c:v>Philippines</c:v>
                </c:pt>
                <c:pt idx="24">
                  <c:v>Russia</c:v>
                </c:pt>
                <c:pt idx="25">
                  <c:v>Saudi Arabia</c:v>
                </c:pt>
                <c:pt idx="26">
                  <c:v>Singapore</c:v>
                </c:pt>
                <c:pt idx="27">
                  <c:v>South Africa</c:v>
                </c:pt>
                <c:pt idx="28">
                  <c:v>South Korea</c:v>
                </c:pt>
                <c:pt idx="29">
                  <c:v>Spain</c:v>
                </c:pt>
                <c:pt idx="30">
                  <c:v>Sweden</c:v>
                </c:pt>
                <c:pt idx="31">
                  <c:v>Switzerland</c:v>
                </c:pt>
                <c:pt idx="32">
                  <c:v>Taiwan</c:v>
                </c:pt>
                <c:pt idx="33">
                  <c:v>Thailand</c:v>
                </c:pt>
                <c:pt idx="34">
                  <c:v>Turkey</c:v>
                </c:pt>
                <c:pt idx="35">
                  <c:v>UAE</c:v>
                </c:pt>
                <c:pt idx="36">
                  <c:v>United Kingdom</c:v>
                </c:pt>
                <c:pt idx="37">
                  <c:v>United States</c:v>
                </c:pt>
                <c:pt idx="38">
                  <c:v>Vietnam</c:v>
                </c:pt>
              </c:strCache>
            </c:strRef>
          </c:cat>
          <c:val>
            <c:numRef>
              <c:f>Sheet12!$DE$24:$DE$63</c:f>
              <c:numCache>
                <c:formatCode>General</c:formatCode>
                <c:ptCount val="39"/>
                <c:pt idx="0">
                  <c:v>15.6</c:v>
                </c:pt>
                <c:pt idx="1">
                  <c:v>5.4</c:v>
                </c:pt>
                <c:pt idx="2">
                  <c:v>6.9</c:v>
                </c:pt>
                <c:pt idx="3">
                  <c:v>3.8</c:v>
                </c:pt>
                <c:pt idx="4">
                  <c:v>5.2</c:v>
                </c:pt>
                <c:pt idx="5">
                  <c:v>6.1</c:v>
                </c:pt>
                <c:pt idx="6">
                  <c:v>7.1</c:v>
                </c:pt>
                <c:pt idx="7">
                  <c:v>1.8</c:v>
                </c:pt>
                <c:pt idx="8">
                  <c:v>23.4</c:v>
                </c:pt>
                <c:pt idx="9">
                  <c:v>2.1</c:v>
                </c:pt>
                <c:pt idx="10">
                  <c:v>1.8</c:v>
                </c:pt>
                <c:pt idx="11">
                  <c:v>5.9</c:v>
                </c:pt>
                <c:pt idx="12">
                  <c:v>10.9</c:v>
                </c:pt>
                <c:pt idx="13">
                  <c:v>7.3</c:v>
                </c:pt>
                <c:pt idx="14">
                  <c:v>4.2</c:v>
                </c:pt>
                <c:pt idx="15">
                  <c:v>2.9</c:v>
                </c:pt>
                <c:pt idx="16">
                  <c:v>4.7</c:v>
                </c:pt>
                <c:pt idx="17">
                  <c:v>5.9</c:v>
                </c:pt>
                <c:pt idx="18">
                  <c:v>8.1999999999999993</c:v>
                </c:pt>
                <c:pt idx="19">
                  <c:v>2.4</c:v>
                </c:pt>
                <c:pt idx="20">
                  <c:v>34.5</c:v>
                </c:pt>
                <c:pt idx="21">
                  <c:v>6.7</c:v>
                </c:pt>
                <c:pt idx="22">
                  <c:v>8.1999999999999993</c:v>
                </c:pt>
                <c:pt idx="23">
                  <c:v>7.4</c:v>
                </c:pt>
                <c:pt idx="24">
                  <c:v>18.7</c:v>
                </c:pt>
                <c:pt idx="25">
                  <c:v>8.9</c:v>
                </c:pt>
                <c:pt idx="26">
                  <c:v>11.7</c:v>
                </c:pt>
                <c:pt idx="27">
                  <c:v>1.8</c:v>
                </c:pt>
                <c:pt idx="28">
                  <c:v>7.8</c:v>
                </c:pt>
                <c:pt idx="29">
                  <c:v>3.7</c:v>
                </c:pt>
                <c:pt idx="30">
                  <c:v>2.9</c:v>
                </c:pt>
                <c:pt idx="31">
                  <c:v>2.1</c:v>
                </c:pt>
                <c:pt idx="32">
                  <c:v>13.8</c:v>
                </c:pt>
                <c:pt idx="33">
                  <c:v>3.8</c:v>
                </c:pt>
                <c:pt idx="34">
                  <c:v>8.9</c:v>
                </c:pt>
                <c:pt idx="35">
                  <c:v>18.899999999999999</c:v>
                </c:pt>
                <c:pt idx="36">
                  <c:v>1.2</c:v>
                </c:pt>
                <c:pt idx="37">
                  <c:v>2.8</c:v>
                </c:pt>
                <c:pt idx="38">
                  <c:v>14.2</c:v>
                </c:pt>
              </c:numCache>
            </c:numRef>
          </c:val>
          <c:extLst>
            <c:ext xmlns:c16="http://schemas.microsoft.com/office/drawing/2014/chart" uri="{C3380CC4-5D6E-409C-BE32-E72D297353CC}">
              <c16:uniqueId val="{00000001-7A6E-AE48-8C31-1946F5BAC744}"/>
            </c:ext>
          </c:extLst>
        </c:ser>
        <c:bandFmts>
          <c:bandFmt>
            <c:idx val="0"/>
            <c:spPr>
              <a:solidFill>
                <a:schemeClr val="accent1"/>
              </a:solidFill>
              <a:ln/>
              <a:effectLst/>
              <a:sp3d/>
            </c:spPr>
          </c:bandFmt>
          <c:bandFmt>
            <c:idx val="1"/>
            <c:spPr>
              <a:solidFill>
                <a:schemeClr val="accent2"/>
              </a:solidFill>
              <a:ln/>
              <a:effectLst/>
              <a:sp3d/>
            </c:spPr>
          </c:bandFmt>
          <c:bandFmt>
            <c:idx val="2"/>
            <c:spPr>
              <a:solidFill>
                <a:schemeClr val="accent3"/>
              </a:solidFill>
              <a:ln/>
              <a:effectLst/>
              <a:sp3d/>
            </c:spPr>
          </c:bandFmt>
          <c:bandFmt>
            <c:idx val="3"/>
            <c:spPr>
              <a:solidFill>
                <a:schemeClr val="accent4"/>
              </a:solidFill>
              <a:ln/>
              <a:effectLst/>
              <a:sp3d/>
            </c:spPr>
          </c:bandFmt>
          <c:bandFmt>
            <c:idx val="4"/>
            <c:spPr>
              <a:solidFill>
                <a:schemeClr val="accent5"/>
              </a:solidFill>
              <a:ln/>
              <a:effectLst/>
              <a:sp3d/>
            </c:spPr>
          </c:bandFmt>
          <c:bandFmt>
            <c:idx val="5"/>
            <c:spPr>
              <a:solidFill>
                <a:schemeClr val="accent6"/>
              </a:solidFill>
              <a:ln/>
              <a:effectLst/>
              <a:sp3d/>
            </c:spPr>
          </c:bandFmt>
          <c:bandFmt>
            <c:idx val="6"/>
            <c:spPr>
              <a:solidFill>
                <a:schemeClr val="accent1">
                  <a:lumMod val="60000"/>
                </a:schemeClr>
              </a:solidFill>
              <a:ln/>
              <a:effectLst/>
              <a:sp3d/>
            </c:spPr>
          </c:bandFmt>
          <c:bandFmt>
            <c:idx val="7"/>
            <c:spPr>
              <a:solidFill>
                <a:schemeClr val="accent2">
                  <a:lumMod val="60000"/>
                </a:schemeClr>
              </a:solidFill>
              <a:ln/>
              <a:effectLst/>
              <a:sp3d/>
            </c:spPr>
          </c:bandFmt>
          <c:bandFmt>
            <c:idx val="8"/>
            <c:spPr>
              <a:solidFill>
                <a:schemeClr val="accent3">
                  <a:lumMod val="60000"/>
                </a:schemeClr>
              </a:solidFill>
              <a:ln/>
              <a:effectLst/>
              <a:sp3d/>
            </c:spPr>
          </c:bandFmt>
          <c:bandFmt>
            <c:idx val="9"/>
            <c:spPr>
              <a:solidFill>
                <a:schemeClr val="accent4">
                  <a:lumMod val="60000"/>
                </a:schemeClr>
              </a:solidFill>
              <a:ln/>
              <a:effectLst/>
              <a:sp3d/>
            </c:spPr>
          </c:bandFmt>
          <c:bandFmt>
            <c:idx val="10"/>
            <c:spPr>
              <a:solidFill>
                <a:schemeClr val="accent5">
                  <a:lumMod val="60000"/>
                </a:schemeClr>
              </a:solidFill>
              <a:ln/>
              <a:effectLst/>
              <a:sp3d/>
            </c:spPr>
          </c:bandFmt>
          <c:bandFmt>
            <c:idx val="11"/>
            <c:spPr>
              <a:solidFill>
                <a:schemeClr val="accent6">
                  <a:lumMod val="60000"/>
                </a:schemeClr>
              </a:solidFill>
              <a:ln/>
              <a:effectLst/>
              <a:sp3d/>
            </c:spPr>
          </c:bandFmt>
          <c:bandFmt>
            <c:idx val="12"/>
            <c:spPr>
              <a:solidFill>
                <a:schemeClr val="accent1">
                  <a:lumMod val="80000"/>
                  <a:lumOff val="20000"/>
                </a:schemeClr>
              </a:solidFill>
              <a:ln/>
              <a:effectLst/>
              <a:sp3d/>
            </c:spPr>
          </c:bandFmt>
          <c:bandFmt>
            <c:idx val="13"/>
            <c:spPr>
              <a:solidFill>
                <a:schemeClr val="accent2">
                  <a:lumMod val="80000"/>
                  <a:lumOff val="20000"/>
                </a:schemeClr>
              </a:solidFill>
              <a:ln/>
              <a:effectLst/>
              <a:sp3d/>
            </c:spPr>
          </c:bandFmt>
          <c:bandFmt>
            <c:idx val="14"/>
            <c:spPr>
              <a:solidFill>
                <a:schemeClr val="accent3">
                  <a:lumMod val="80000"/>
                  <a:lumOff val="20000"/>
                </a:schemeClr>
              </a:solidFill>
              <a:ln/>
              <a:effectLst/>
              <a:sp3d/>
            </c:spPr>
          </c:bandFmt>
        </c:bandFmts>
        <c:axId val="175669455"/>
        <c:axId val="134811503"/>
        <c:axId val="173559023"/>
      </c:surface3DChart>
      <c:catAx>
        <c:axId val="17566945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811503"/>
        <c:crosses val="autoZero"/>
        <c:auto val="1"/>
        <c:lblAlgn val="ctr"/>
        <c:lblOffset val="100"/>
        <c:noMultiLvlLbl val="0"/>
      </c:catAx>
      <c:valAx>
        <c:axId val="1348115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669455"/>
        <c:crosses val="autoZero"/>
        <c:crossBetween val="midCat"/>
      </c:valAx>
      <c:serAx>
        <c:axId val="173559023"/>
        <c:scaling>
          <c:orientation val="minMax"/>
        </c:scaling>
        <c:delete val="0"/>
        <c:axPos val="b"/>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811503"/>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[Saravanan Milestone.xlsx]Sheet12!PivotTable19</c:name>
    <c:fmtId val="26"/>
  </c:pivotSource>
  <c:chart>
    <c:autoTitleDeleted val="0"/>
    <c:pivotFmts>
      <c:pivotFmt>
        <c:idx val="0"/>
        <c:spPr>
          <a:ln w="38100" cap="rnd">
            <a:solidFill>
              <a:schemeClr val="accent1"/>
            </a:solidFill>
            <a:round/>
          </a:ln>
          <a:effectLst/>
        </c:spPr>
        <c:marker>
          <c:symbol val="circle"/>
          <c:size val="8"/>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38100" cap="rnd">
            <a:solidFill>
              <a:schemeClr val="accent1"/>
            </a:solidFill>
            <a:round/>
          </a:ln>
          <a:effectLst/>
        </c:spPr>
        <c:marker>
          <c:symbol val="circle"/>
          <c:size val="8"/>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8100" cap="rnd">
            <a:solidFill>
              <a:schemeClr val="accent1"/>
            </a:solidFill>
            <a:round/>
          </a:ln>
          <a:effectLst/>
        </c:spPr>
        <c:marker>
          <c:symbol val="circle"/>
          <c:size val="8"/>
          <c:spPr>
            <a:solidFill>
              <a:schemeClr val="accent3"/>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38100" cap="rnd">
            <a:solidFill>
              <a:schemeClr val="accent1"/>
            </a:solidFill>
            <a:round/>
          </a:ln>
          <a:effectLst/>
        </c:spPr>
        <c:marker>
          <c:symbol val="circle"/>
          <c:size val="8"/>
          <c:spPr>
            <a:solidFill>
              <a:schemeClr val="accent4"/>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38100" cap="rnd">
            <a:solidFill>
              <a:schemeClr val="accent1"/>
            </a:solidFill>
            <a:round/>
          </a:ln>
          <a:effectLst/>
        </c:spPr>
        <c:marker>
          <c:symbol val="circle"/>
          <c:size val="8"/>
          <c:spPr>
            <a:solidFill>
              <a:schemeClr val="accent5"/>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8100" cap="rnd">
            <a:solidFill>
              <a:schemeClr val="accent1"/>
            </a:solidFill>
            <a:round/>
          </a:ln>
          <a:effectLst/>
        </c:spPr>
        <c:marker>
          <c:symbol val="circle"/>
          <c:size val="8"/>
          <c:spPr>
            <a:solidFill>
              <a:schemeClr val="accent6"/>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38100" cap="rnd">
            <a:solidFill>
              <a:schemeClr val="accent1"/>
            </a:solidFill>
            <a:round/>
          </a:ln>
          <a:effectLst/>
        </c:spPr>
        <c:marker>
          <c:symbol val="circle"/>
          <c:size val="8"/>
          <c:spPr>
            <a:solidFill>
              <a:schemeClr val="accent1">
                <a:lumMod val="6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38100" cap="rnd">
            <a:solidFill>
              <a:schemeClr val="accent1"/>
            </a:solidFill>
            <a:round/>
          </a:ln>
          <a:effectLst/>
        </c:spPr>
        <c:marker>
          <c:symbol val="circle"/>
          <c:size val="8"/>
          <c:spPr>
            <a:solidFill>
              <a:schemeClr val="accent2">
                <a:lumMod val="6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38100" cap="rnd">
            <a:solidFill>
              <a:schemeClr val="accent1"/>
            </a:solidFill>
            <a:round/>
          </a:ln>
          <a:effectLst/>
        </c:spPr>
        <c:marker>
          <c:symbol val="circle"/>
          <c:size val="8"/>
          <c:spPr>
            <a:solidFill>
              <a:schemeClr val="accent3">
                <a:lumMod val="6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38100" cap="rnd">
            <a:solidFill>
              <a:schemeClr val="accent1"/>
            </a:solidFill>
            <a:round/>
          </a:ln>
          <a:effectLst/>
        </c:spPr>
        <c:marker>
          <c:symbol val="circle"/>
          <c:size val="8"/>
          <c:spPr>
            <a:solidFill>
              <a:schemeClr val="accent4">
                <a:lumMod val="6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38100" cap="rnd">
            <a:solidFill>
              <a:schemeClr val="accent1"/>
            </a:solidFill>
            <a:round/>
          </a:ln>
          <a:effectLst/>
        </c:spPr>
        <c:marker>
          <c:symbol val="circle"/>
          <c:size val="8"/>
          <c:spPr>
            <a:solidFill>
              <a:schemeClr val="accent5">
                <a:lumMod val="6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38100" cap="rnd">
            <a:solidFill>
              <a:schemeClr val="accent1"/>
            </a:solidFill>
            <a:round/>
          </a:ln>
          <a:effectLst/>
        </c:spPr>
        <c:marker>
          <c:symbol val="circle"/>
          <c:size val="8"/>
          <c:spPr>
            <a:solidFill>
              <a:schemeClr val="accent6">
                <a:lumMod val="6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38100" cap="rnd">
            <a:solidFill>
              <a:schemeClr val="accent1"/>
            </a:solidFill>
            <a:round/>
          </a:ln>
          <a:effectLst/>
        </c:spPr>
        <c:marker>
          <c:symbol val="circle"/>
          <c:size val="8"/>
          <c:spPr>
            <a:solidFill>
              <a:schemeClr val="accent1">
                <a:lumMod val="80000"/>
                <a:lumOff val="2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38100" cap="rnd">
            <a:solidFill>
              <a:schemeClr val="accent1"/>
            </a:solidFill>
            <a:round/>
          </a:ln>
          <a:effectLst/>
        </c:spPr>
        <c:marker>
          <c:symbol val="circle"/>
          <c:size val="8"/>
          <c:spPr>
            <a:solidFill>
              <a:schemeClr val="accent2">
                <a:lumMod val="80000"/>
                <a:lumOff val="2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38100" cap="rnd">
            <a:solidFill>
              <a:schemeClr val="accent1"/>
            </a:solidFill>
            <a:round/>
          </a:ln>
          <a:effectLst/>
        </c:spPr>
        <c:marker>
          <c:symbol val="circle"/>
          <c:size val="8"/>
          <c:spPr>
            <a:solidFill>
              <a:schemeClr val="accent3">
                <a:lumMod val="80000"/>
                <a:lumOff val="2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ln w="38100" cap="rnd">
            <a:solidFill>
              <a:schemeClr val="accent1"/>
            </a:solidFill>
            <a:round/>
          </a:ln>
          <a:effectLst/>
        </c:spPr>
        <c:marker>
          <c:symbol val="circle"/>
          <c:size val="8"/>
          <c:spPr>
            <a:solidFill>
              <a:schemeClr val="accent4">
                <a:lumMod val="80000"/>
                <a:lumOff val="2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ln w="38100" cap="rnd">
            <a:solidFill>
              <a:schemeClr val="accent1"/>
            </a:solidFill>
            <a:round/>
          </a:ln>
          <a:effectLst/>
        </c:spPr>
        <c:marker>
          <c:symbol val="circle"/>
          <c:size val="8"/>
          <c:spPr>
            <a:solidFill>
              <a:schemeClr val="accent5">
                <a:lumMod val="80000"/>
                <a:lumOff val="2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ln w="38100" cap="rnd">
            <a:solidFill>
              <a:schemeClr val="accent1"/>
            </a:solidFill>
            <a:round/>
          </a:ln>
          <a:effectLst/>
        </c:spPr>
        <c:marker>
          <c:symbol val="circle"/>
          <c:size val="8"/>
          <c:spPr>
            <a:solidFill>
              <a:schemeClr val="accent6">
                <a:lumMod val="80000"/>
                <a:lumOff val="2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ln w="38100" cap="rnd">
            <a:solidFill>
              <a:schemeClr val="accent1"/>
            </a:solidFill>
            <a:round/>
          </a:ln>
          <a:effectLst/>
        </c:spPr>
        <c:marker>
          <c:symbol val="circle"/>
          <c:size val="8"/>
          <c:spPr>
            <a:solidFill>
              <a:schemeClr val="accent1">
                <a:lumMod val="8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ln w="38100" cap="rnd">
            <a:solidFill>
              <a:schemeClr val="accent1"/>
            </a:solidFill>
            <a:round/>
          </a:ln>
          <a:effectLst/>
        </c:spPr>
        <c:marker>
          <c:symbol val="circle"/>
          <c:size val="8"/>
          <c:spPr>
            <a:solidFill>
              <a:schemeClr val="accent2">
                <a:lumMod val="8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ln w="38100" cap="rnd">
            <a:solidFill>
              <a:schemeClr val="accent1"/>
            </a:solidFill>
            <a:round/>
          </a:ln>
          <a:effectLst/>
        </c:spPr>
        <c:marker>
          <c:symbol val="circle"/>
          <c:size val="8"/>
          <c:spPr>
            <a:solidFill>
              <a:schemeClr val="accent3">
                <a:lumMod val="8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ln w="38100" cap="rnd">
            <a:solidFill>
              <a:schemeClr val="accent1"/>
            </a:solidFill>
            <a:round/>
          </a:ln>
          <a:effectLst/>
        </c:spPr>
        <c:marker>
          <c:symbol val="circle"/>
          <c:size val="8"/>
          <c:spPr>
            <a:solidFill>
              <a:schemeClr val="accent4">
                <a:lumMod val="8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ln w="38100" cap="rnd">
            <a:solidFill>
              <a:schemeClr val="accent1"/>
            </a:solidFill>
            <a:round/>
          </a:ln>
          <a:effectLst/>
        </c:spPr>
        <c:marker>
          <c:symbol val="circle"/>
          <c:size val="8"/>
          <c:spPr>
            <a:solidFill>
              <a:schemeClr val="accent5">
                <a:lumMod val="8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ln w="38100" cap="rnd">
            <a:solidFill>
              <a:schemeClr val="accent1"/>
            </a:solidFill>
            <a:round/>
          </a:ln>
          <a:effectLst/>
        </c:spPr>
        <c:marker>
          <c:symbol val="circle"/>
          <c:size val="8"/>
          <c:spPr>
            <a:solidFill>
              <a:schemeClr val="accent6">
                <a:lumMod val="8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38100" cap="rnd">
            <a:solidFill>
              <a:schemeClr val="accent1"/>
            </a:solidFill>
            <a:round/>
          </a:ln>
          <a:effectLst/>
        </c:spPr>
        <c:marker>
          <c:symbol val="circle"/>
          <c:size val="8"/>
          <c:spPr>
            <a:solidFill>
              <a:schemeClr val="accent1">
                <a:lumMod val="60000"/>
                <a:lumOff val="4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38100" cap="rnd">
            <a:solidFill>
              <a:schemeClr val="accent1"/>
            </a:solidFill>
            <a:round/>
          </a:ln>
          <a:effectLst/>
        </c:spPr>
        <c:marker>
          <c:symbol val="circle"/>
          <c:size val="8"/>
          <c:spPr>
            <a:solidFill>
              <a:schemeClr val="accent2">
                <a:lumMod val="60000"/>
                <a:lumOff val="4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38100" cap="rnd">
            <a:solidFill>
              <a:schemeClr val="accent1"/>
            </a:solidFill>
            <a:round/>
          </a:ln>
          <a:effectLst/>
        </c:spPr>
        <c:marker>
          <c:symbol val="circle"/>
          <c:size val="8"/>
          <c:spPr>
            <a:solidFill>
              <a:schemeClr val="accent3">
                <a:lumMod val="60000"/>
                <a:lumOff val="4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38100" cap="rnd">
            <a:solidFill>
              <a:schemeClr val="accent1"/>
            </a:solidFill>
            <a:round/>
          </a:ln>
          <a:effectLst/>
        </c:spPr>
        <c:marker>
          <c:symbol val="circle"/>
          <c:size val="8"/>
          <c:spPr>
            <a:solidFill>
              <a:schemeClr val="accent4">
                <a:lumMod val="60000"/>
                <a:lumOff val="4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ln w="38100" cap="rnd">
            <a:solidFill>
              <a:schemeClr val="accent1"/>
            </a:solidFill>
            <a:round/>
          </a:ln>
          <a:effectLst/>
        </c:spPr>
        <c:marker>
          <c:symbol val="circle"/>
          <c:size val="8"/>
          <c:spPr>
            <a:solidFill>
              <a:schemeClr val="accent5">
                <a:lumMod val="60000"/>
                <a:lumOff val="4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ln w="38100" cap="rnd">
            <a:solidFill>
              <a:schemeClr val="accent1"/>
            </a:solidFill>
            <a:round/>
          </a:ln>
          <a:effectLst/>
        </c:spPr>
        <c:marker>
          <c:symbol val="circle"/>
          <c:size val="8"/>
          <c:spPr>
            <a:solidFill>
              <a:schemeClr val="accent6">
                <a:lumMod val="60000"/>
                <a:lumOff val="4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ln w="38100" cap="rnd">
            <a:solidFill>
              <a:schemeClr val="accent1"/>
            </a:solidFill>
            <a:round/>
          </a:ln>
          <a:effectLst/>
        </c:spPr>
        <c:marker>
          <c:symbol val="circle"/>
          <c:size val="8"/>
          <c:spPr>
            <a:solidFill>
              <a:schemeClr val="accent1">
                <a:lumMod val="5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ln w="38100" cap="rnd">
            <a:solidFill>
              <a:schemeClr val="accent1"/>
            </a:solidFill>
            <a:round/>
          </a:ln>
          <a:effectLst/>
        </c:spPr>
        <c:marker>
          <c:symbol val="circle"/>
          <c:size val="8"/>
          <c:spPr>
            <a:solidFill>
              <a:schemeClr val="accent2">
                <a:lumMod val="5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ln w="38100" cap="rnd">
            <a:solidFill>
              <a:schemeClr val="accent1"/>
            </a:solidFill>
            <a:round/>
          </a:ln>
          <a:effectLst/>
        </c:spPr>
        <c:marker>
          <c:symbol val="circle"/>
          <c:size val="8"/>
          <c:spPr>
            <a:solidFill>
              <a:schemeClr val="accent3">
                <a:lumMod val="5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ln w="38100" cap="rnd">
            <a:solidFill>
              <a:schemeClr val="accent1"/>
            </a:solidFill>
            <a:round/>
          </a:ln>
          <a:effectLst/>
        </c:spPr>
        <c:marker>
          <c:symbol val="circle"/>
          <c:size val="8"/>
          <c:spPr>
            <a:solidFill>
              <a:schemeClr val="accent4">
                <a:lumMod val="5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38100" cap="rnd">
            <a:solidFill>
              <a:schemeClr val="accent1"/>
            </a:solidFill>
            <a:round/>
          </a:ln>
          <a:effectLst/>
        </c:spPr>
        <c:marker>
          <c:symbol val="circle"/>
          <c:size val="8"/>
          <c:spPr>
            <a:solidFill>
              <a:schemeClr val="accent5">
                <a:lumMod val="5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38100" cap="rnd">
            <a:solidFill>
              <a:schemeClr val="accent1"/>
            </a:solidFill>
            <a:round/>
          </a:ln>
          <a:effectLst/>
        </c:spPr>
        <c:marker>
          <c:symbol val="circle"/>
          <c:size val="8"/>
          <c:spPr>
            <a:solidFill>
              <a:schemeClr val="accent6">
                <a:lumMod val="5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38100" cap="rnd">
            <a:solidFill>
              <a:schemeClr val="accent1"/>
            </a:solidFill>
            <a:round/>
          </a:ln>
          <a:effectLst/>
        </c:spPr>
        <c:marker>
          <c:symbol val="circle"/>
          <c:size val="8"/>
          <c:spPr>
            <a:solidFill>
              <a:schemeClr val="accent1">
                <a:lumMod val="70000"/>
                <a:lumOff val="3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38100" cap="rnd">
            <a:solidFill>
              <a:schemeClr val="accent1"/>
            </a:solidFill>
            <a:round/>
          </a:ln>
          <a:effectLst/>
        </c:spPr>
        <c:marker>
          <c:symbol val="circle"/>
          <c:size val="8"/>
          <c:spPr>
            <a:solidFill>
              <a:schemeClr val="accent2">
                <a:lumMod val="70000"/>
                <a:lumOff val="3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ln w="38100" cap="rnd">
            <a:solidFill>
              <a:schemeClr val="accent1"/>
            </a:solidFill>
            <a:round/>
          </a:ln>
          <a:effectLst/>
        </c:spPr>
        <c:marker>
          <c:symbol val="circle"/>
          <c:size val="8"/>
          <c:spPr>
            <a:solidFill>
              <a:schemeClr val="accent3">
                <a:lumMod val="70000"/>
                <a:lumOff val="3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ln w="38100" cap="rnd">
            <a:solidFill>
              <a:schemeClr val="accent1"/>
            </a:solidFill>
            <a:round/>
          </a:ln>
          <a:effectLst/>
        </c:spPr>
        <c:marker>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percentStacked"/>
        <c:varyColors val="0"/>
        <c:ser>
          <c:idx val="0"/>
          <c:order val="0"/>
          <c:tx>
            <c:strRef>
              <c:f>Sheet12!$DY$18:$DY$19</c:f>
              <c:strCache>
                <c:ptCount val="1"/>
                <c:pt idx="0">
                  <c:v>Argentina</c:v>
                </c:pt>
              </c:strCache>
            </c:strRef>
          </c:tx>
          <c:spPr>
            <a:ln w="38100" cap="rnd">
              <a:solidFill>
                <a:schemeClr val="accent1"/>
              </a:solidFill>
              <a:round/>
            </a:ln>
            <a:effectLst/>
          </c:spPr>
          <c:marker>
            <c:symbol val="circle"/>
            <c:size val="8"/>
            <c:spPr>
              <a:solidFill>
                <a:schemeClr val="accent1"/>
              </a:solidFill>
              <a:ln>
                <a:noFill/>
              </a:ln>
              <a:effectLst/>
            </c:spPr>
          </c:marker>
          <c:cat>
            <c:strRef>
              <c:f>Sheet12!$DX$20:$DX$21</c:f>
              <c:strCache>
                <c:ptCount val="1"/>
                <c:pt idx="0">
                  <c:v>15/08/24</c:v>
                </c:pt>
              </c:strCache>
            </c:strRef>
          </c:cat>
          <c:val>
            <c:numRef>
              <c:f>Sheet12!$DY$20:$DY$21</c:f>
              <c:numCache>
                <c:formatCode>General</c:formatCode>
                <c:ptCount val="1"/>
                <c:pt idx="0">
                  <c:v>-23.4</c:v>
                </c:pt>
              </c:numCache>
            </c:numRef>
          </c:val>
          <c:smooth val="0"/>
          <c:extLst>
            <c:ext xmlns:c16="http://schemas.microsoft.com/office/drawing/2014/chart" uri="{C3380CC4-5D6E-409C-BE32-E72D297353CC}">
              <c16:uniqueId val="{00000000-A278-1247-B461-5E104F2C123D}"/>
            </c:ext>
          </c:extLst>
        </c:ser>
        <c:ser>
          <c:idx val="1"/>
          <c:order val="1"/>
          <c:tx>
            <c:strRef>
              <c:f>Sheet12!$DZ$18:$DZ$19</c:f>
              <c:strCache>
                <c:ptCount val="1"/>
                <c:pt idx="0">
                  <c:v>Australia</c:v>
                </c:pt>
              </c:strCache>
            </c:strRef>
          </c:tx>
          <c:spPr>
            <a:ln w="38100" cap="rnd">
              <a:solidFill>
                <a:schemeClr val="accent2"/>
              </a:solidFill>
              <a:round/>
            </a:ln>
            <a:effectLst/>
          </c:spPr>
          <c:marker>
            <c:symbol val="circle"/>
            <c:size val="8"/>
            <c:spPr>
              <a:solidFill>
                <a:schemeClr val="accent2"/>
              </a:solidFill>
              <a:ln>
                <a:noFill/>
              </a:ln>
              <a:effectLst/>
            </c:spPr>
          </c:marker>
          <c:cat>
            <c:strRef>
              <c:f>Sheet12!$DX$20:$DX$21</c:f>
              <c:strCache>
                <c:ptCount val="1"/>
                <c:pt idx="0">
                  <c:v>15/08/24</c:v>
                </c:pt>
              </c:strCache>
            </c:strRef>
          </c:cat>
          <c:val>
            <c:numRef>
              <c:f>Sheet12!$DZ$20:$DZ$21</c:f>
              <c:numCache>
                <c:formatCode>General</c:formatCode>
                <c:ptCount val="1"/>
                <c:pt idx="0">
                  <c:v>67.8</c:v>
                </c:pt>
              </c:numCache>
            </c:numRef>
          </c:val>
          <c:smooth val="0"/>
          <c:extLst>
            <c:ext xmlns:c16="http://schemas.microsoft.com/office/drawing/2014/chart" uri="{C3380CC4-5D6E-409C-BE32-E72D297353CC}">
              <c16:uniqueId val="{00000028-A278-1247-B461-5E104F2C123D}"/>
            </c:ext>
          </c:extLst>
        </c:ser>
        <c:ser>
          <c:idx val="2"/>
          <c:order val="2"/>
          <c:tx>
            <c:strRef>
              <c:f>Sheet12!$EA$18:$EA$19</c:f>
              <c:strCache>
                <c:ptCount val="1"/>
                <c:pt idx="0">
                  <c:v>Brazil</c:v>
                </c:pt>
              </c:strCache>
            </c:strRef>
          </c:tx>
          <c:spPr>
            <a:ln w="38100" cap="rnd">
              <a:solidFill>
                <a:schemeClr val="accent3"/>
              </a:solidFill>
              <a:round/>
            </a:ln>
            <a:effectLst/>
          </c:spPr>
          <c:marker>
            <c:symbol val="circle"/>
            <c:size val="8"/>
            <c:spPr>
              <a:solidFill>
                <a:schemeClr val="accent3"/>
              </a:solidFill>
              <a:ln>
                <a:noFill/>
              </a:ln>
              <a:effectLst/>
            </c:spPr>
          </c:marker>
          <c:cat>
            <c:strRef>
              <c:f>Sheet12!$DX$20:$DX$21</c:f>
              <c:strCache>
                <c:ptCount val="1"/>
                <c:pt idx="0">
                  <c:v>15/08/24</c:v>
                </c:pt>
              </c:strCache>
            </c:strRef>
          </c:cat>
          <c:val>
            <c:numRef>
              <c:f>Sheet12!$EA$20:$EA$21</c:f>
              <c:numCache>
                <c:formatCode>General</c:formatCode>
                <c:ptCount val="1"/>
                <c:pt idx="0">
                  <c:v>-46.9</c:v>
                </c:pt>
              </c:numCache>
            </c:numRef>
          </c:val>
          <c:smooth val="0"/>
          <c:extLst>
            <c:ext xmlns:c16="http://schemas.microsoft.com/office/drawing/2014/chart" uri="{C3380CC4-5D6E-409C-BE32-E72D297353CC}">
              <c16:uniqueId val="{00000029-A278-1247-B461-5E104F2C123D}"/>
            </c:ext>
          </c:extLst>
        </c:ser>
        <c:ser>
          <c:idx val="3"/>
          <c:order val="3"/>
          <c:tx>
            <c:strRef>
              <c:f>Sheet12!$EB$18:$EB$19</c:f>
              <c:strCache>
                <c:ptCount val="1"/>
                <c:pt idx="0">
                  <c:v>Canada</c:v>
                </c:pt>
              </c:strCache>
            </c:strRef>
          </c:tx>
          <c:spPr>
            <a:ln w="38100" cap="rnd">
              <a:solidFill>
                <a:schemeClr val="accent4"/>
              </a:solidFill>
              <a:round/>
            </a:ln>
            <a:effectLst/>
          </c:spPr>
          <c:marker>
            <c:symbol val="circle"/>
            <c:size val="8"/>
            <c:spPr>
              <a:solidFill>
                <a:schemeClr val="accent4"/>
              </a:solidFill>
              <a:ln>
                <a:noFill/>
              </a:ln>
              <a:effectLst/>
            </c:spPr>
          </c:marker>
          <c:cat>
            <c:strRef>
              <c:f>Sheet12!$DX$20:$DX$21</c:f>
              <c:strCache>
                <c:ptCount val="1"/>
                <c:pt idx="0">
                  <c:v>15/08/24</c:v>
                </c:pt>
              </c:strCache>
            </c:strRef>
          </c:cat>
          <c:val>
            <c:numRef>
              <c:f>Sheet12!$EB$20:$EB$21</c:f>
              <c:numCache>
                <c:formatCode>General</c:formatCode>
                <c:ptCount val="1"/>
                <c:pt idx="0">
                  <c:v>12.8</c:v>
                </c:pt>
              </c:numCache>
            </c:numRef>
          </c:val>
          <c:smooth val="0"/>
          <c:extLst>
            <c:ext xmlns:c16="http://schemas.microsoft.com/office/drawing/2014/chart" uri="{C3380CC4-5D6E-409C-BE32-E72D297353CC}">
              <c16:uniqueId val="{0000002A-A278-1247-B461-5E104F2C123D}"/>
            </c:ext>
          </c:extLst>
        </c:ser>
        <c:ser>
          <c:idx val="4"/>
          <c:order val="4"/>
          <c:tx>
            <c:strRef>
              <c:f>Sheet12!$EC$18:$EC$19</c:f>
              <c:strCache>
                <c:ptCount val="1"/>
                <c:pt idx="0">
                  <c:v>Chile</c:v>
                </c:pt>
              </c:strCache>
            </c:strRef>
          </c:tx>
          <c:spPr>
            <a:ln w="38100" cap="rnd">
              <a:solidFill>
                <a:schemeClr val="accent5"/>
              </a:solidFill>
              <a:round/>
            </a:ln>
            <a:effectLst/>
          </c:spPr>
          <c:marker>
            <c:symbol val="circle"/>
            <c:size val="8"/>
            <c:spPr>
              <a:solidFill>
                <a:schemeClr val="accent5"/>
              </a:solidFill>
              <a:ln>
                <a:noFill/>
              </a:ln>
              <a:effectLst/>
            </c:spPr>
          </c:marker>
          <c:cat>
            <c:strRef>
              <c:f>Sheet12!$DX$20:$DX$21</c:f>
              <c:strCache>
                <c:ptCount val="1"/>
                <c:pt idx="0">
                  <c:v>15/08/24</c:v>
                </c:pt>
              </c:strCache>
            </c:strRef>
          </c:cat>
          <c:val>
            <c:numRef>
              <c:f>Sheet12!$EC$20:$EC$21</c:f>
              <c:numCache>
                <c:formatCode>General</c:formatCode>
                <c:ptCount val="1"/>
                <c:pt idx="0">
                  <c:v>23.4</c:v>
                </c:pt>
              </c:numCache>
            </c:numRef>
          </c:val>
          <c:smooth val="0"/>
          <c:extLst>
            <c:ext xmlns:c16="http://schemas.microsoft.com/office/drawing/2014/chart" uri="{C3380CC4-5D6E-409C-BE32-E72D297353CC}">
              <c16:uniqueId val="{0000002B-A278-1247-B461-5E104F2C123D}"/>
            </c:ext>
          </c:extLst>
        </c:ser>
        <c:ser>
          <c:idx val="5"/>
          <c:order val="5"/>
          <c:tx>
            <c:strRef>
              <c:f>Sheet12!$ED$18:$ED$19</c:f>
              <c:strCache>
                <c:ptCount val="1"/>
                <c:pt idx="0">
                  <c:v>China</c:v>
                </c:pt>
              </c:strCache>
            </c:strRef>
          </c:tx>
          <c:spPr>
            <a:ln w="38100" cap="rnd">
              <a:solidFill>
                <a:schemeClr val="accent6"/>
              </a:solidFill>
              <a:round/>
            </a:ln>
            <a:effectLst/>
          </c:spPr>
          <c:marker>
            <c:symbol val="circle"/>
            <c:size val="8"/>
            <c:spPr>
              <a:solidFill>
                <a:schemeClr val="accent6"/>
              </a:solidFill>
              <a:ln>
                <a:noFill/>
              </a:ln>
              <a:effectLst/>
            </c:spPr>
          </c:marker>
          <c:cat>
            <c:strRef>
              <c:f>Sheet12!$DX$20:$DX$21</c:f>
              <c:strCache>
                <c:ptCount val="1"/>
                <c:pt idx="0">
                  <c:v>15/08/24</c:v>
                </c:pt>
              </c:strCache>
            </c:strRef>
          </c:cat>
          <c:val>
            <c:numRef>
              <c:f>Sheet12!$ED$20:$ED$21</c:f>
              <c:numCache>
                <c:formatCode>General</c:formatCode>
                <c:ptCount val="1"/>
                <c:pt idx="0">
                  <c:v>382.9</c:v>
                </c:pt>
              </c:numCache>
            </c:numRef>
          </c:val>
          <c:smooth val="0"/>
          <c:extLst>
            <c:ext xmlns:c16="http://schemas.microsoft.com/office/drawing/2014/chart" uri="{C3380CC4-5D6E-409C-BE32-E72D297353CC}">
              <c16:uniqueId val="{0000002C-A278-1247-B461-5E104F2C123D}"/>
            </c:ext>
          </c:extLst>
        </c:ser>
        <c:ser>
          <c:idx val="6"/>
          <c:order val="6"/>
          <c:tx>
            <c:strRef>
              <c:f>Sheet12!$EE$18:$EE$19</c:f>
              <c:strCache>
                <c:ptCount val="1"/>
                <c:pt idx="0">
                  <c:v>Colombia</c:v>
                </c:pt>
              </c:strCache>
            </c:strRef>
          </c:tx>
          <c:spPr>
            <a:ln w="38100" cap="rnd">
              <a:solidFill>
                <a:schemeClr val="accent1">
                  <a:lumMod val="60000"/>
                </a:schemeClr>
              </a:solidFill>
              <a:round/>
            </a:ln>
            <a:effectLst/>
          </c:spPr>
          <c:marker>
            <c:symbol val="circle"/>
            <c:size val="8"/>
            <c:spPr>
              <a:solidFill>
                <a:schemeClr val="accent1">
                  <a:lumMod val="60000"/>
                </a:schemeClr>
              </a:solidFill>
              <a:ln>
                <a:noFill/>
              </a:ln>
              <a:effectLst/>
            </c:spPr>
          </c:marker>
          <c:cat>
            <c:strRef>
              <c:f>Sheet12!$DX$20:$DX$21</c:f>
              <c:strCache>
                <c:ptCount val="1"/>
                <c:pt idx="0">
                  <c:v>15/08/24</c:v>
                </c:pt>
              </c:strCache>
            </c:strRef>
          </c:cat>
          <c:val>
            <c:numRef>
              <c:f>Sheet12!$EE$20:$EE$21</c:f>
              <c:numCache>
                <c:formatCode>General</c:formatCode>
                <c:ptCount val="1"/>
                <c:pt idx="0">
                  <c:v>-12.1</c:v>
                </c:pt>
              </c:numCache>
            </c:numRef>
          </c:val>
          <c:smooth val="0"/>
          <c:extLst>
            <c:ext xmlns:c16="http://schemas.microsoft.com/office/drawing/2014/chart" uri="{C3380CC4-5D6E-409C-BE32-E72D297353CC}">
              <c16:uniqueId val="{0000002D-A278-1247-B461-5E104F2C123D}"/>
            </c:ext>
          </c:extLst>
        </c:ser>
        <c:ser>
          <c:idx val="7"/>
          <c:order val="7"/>
          <c:tx>
            <c:strRef>
              <c:f>Sheet12!$EF$18:$EF$19</c:f>
              <c:strCache>
                <c:ptCount val="1"/>
                <c:pt idx="0">
                  <c:v>Denmark</c:v>
                </c:pt>
              </c:strCache>
            </c:strRef>
          </c:tx>
          <c:spPr>
            <a:ln w="38100" cap="rnd">
              <a:solidFill>
                <a:schemeClr val="accent2">
                  <a:lumMod val="60000"/>
                </a:schemeClr>
              </a:solidFill>
              <a:round/>
            </a:ln>
            <a:effectLst/>
          </c:spPr>
          <c:marker>
            <c:symbol val="circle"/>
            <c:size val="8"/>
            <c:spPr>
              <a:solidFill>
                <a:schemeClr val="accent2">
                  <a:lumMod val="60000"/>
                </a:schemeClr>
              </a:solidFill>
              <a:ln>
                <a:noFill/>
              </a:ln>
              <a:effectLst/>
            </c:spPr>
          </c:marker>
          <c:cat>
            <c:strRef>
              <c:f>Sheet12!$DX$20:$DX$21</c:f>
              <c:strCache>
                <c:ptCount val="1"/>
                <c:pt idx="0">
                  <c:v>15/08/24</c:v>
                </c:pt>
              </c:strCache>
            </c:strRef>
          </c:cat>
          <c:val>
            <c:numRef>
              <c:f>Sheet12!$EF$20:$EF$21</c:f>
              <c:numCache>
                <c:formatCode>General</c:formatCode>
                <c:ptCount val="1"/>
                <c:pt idx="0">
                  <c:v>23.4</c:v>
                </c:pt>
              </c:numCache>
            </c:numRef>
          </c:val>
          <c:smooth val="0"/>
          <c:extLst>
            <c:ext xmlns:c16="http://schemas.microsoft.com/office/drawing/2014/chart" uri="{C3380CC4-5D6E-409C-BE32-E72D297353CC}">
              <c16:uniqueId val="{0000002E-A278-1247-B461-5E104F2C123D}"/>
            </c:ext>
          </c:extLst>
        </c:ser>
        <c:ser>
          <c:idx val="8"/>
          <c:order val="8"/>
          <c:tx>
            <c:strRef>
              <c:f>Sheet12!$EG$18:$EG$19</c:f>
              <c:strCache>
                <c:ptCount val="1"/>
                <c:pt idx="0">
                  <c:v>Egypt</c:v>
                </c:pt>
              </c:strCache>
            </c:strRef>
          </c:tx>
          <c:spPr>
            <a:ln w="38100" cap="rnd">
              <a:solidFill>
                <a:schemeClr val="accent3">
                  <a:lumMod val="60000"/>
                </a:schemeClr>
              </a:solidFill>
              <a:round/>
            </a:ln>
            <a:effectLst/>
          </c:spPr>
          <c:marker>
            <c:symbol val="circle"/>
            <c:size val="8"/>
            <c:spPr>
              <a:solidFill>
                <a:schemeClr val="accent3">
                  <a:lumMod val="60000"/>
                </a:schemeClr>
              </a:solidFill>
              <a:ln>
                <a:noFill/>
              </a:ln>
              <a:effectLst/>
            </c:spPr>
          </c:marker>
          <c:cat>
            <c:strRef>
              <c:f>Sheet12!$DX$20:$DX$21</c:f>
              <c:strCache>
                <c:ptCount val="1"/>
                <c:pt idx="0">
                  <c:v>15/08/24</c:v>
                </c:pt>
              </c:strCache>
            </c:strRef>
          </c:cat>
          <c:val>
            <c:numRef>
              <c:f>Sheet12!$EG$20:$EG$21</c:f>
              <c:numCache>
                <c:formatCode>General</c:formatCode>
                <c:ptCount val="1"/>
                <c:pt idx="0">
                  <c:v>-18.899999999999999</c:v>
                </c:pt>
              </c:numCache>
            </c:numRef>
          </c:val>
          <c:smooth val="0"/>
          <c:extLst>
            <c:ext xmlns:c16="http://schemas.microsoft.com/office/drawing/2014/chart" uri="{C3380CC4-5D6E-409C-BE32-E72D297353CC}">
              <c16:uniqueId val="{0000002F-A278-1247-B461-5E104F2C123D}"/>
            </c:ext>
          </c:extLst>
        </c:ser>
        <c:ser>
          <c:idx val="9"/>
          <c:order val="9"/>
          <c:tx>
            <c:strRef>
              <c:f>Sheet12!$EH$18:$EH$19</c:f>
              <c:strCache>
                <c:ptCount val="1"/>
                <c:pt idx="0">
                  <c:v>France</c:v>
                </c:pt>
              </c:strCache>
            </c:strRef>
          </c:tx>
          <c:spPr>
            <a:ln w="38100" cap="rnd">
              <a:solidFill>
                <a:schemeClr val="accent4">
                  <a:lumMod val="60000"/>
                </a:schemeClr>
              </a:solidFill>
              <a:round/>
            </a:ln>
            <a:effectLst/>
          </c:spPr>
          <c:marker>
            <c:symbol val="circle"/>
            <c:size val="8"/>
            <c:spPr>
              <a:solidFill>
                <a:schemeClr val="accent4">
                  <a:lumMod val="60000"/>
                </a:schemeClr>
              </a:solidFill>
              <a:ln>
                <a:noFill/>
              </a:ln>
              <a:effectLst/>
            </c:spPr>
          </c:marker>
          <c:cat>
            <c:strRef>
              <c:f>Sheet12!$DX$20:$DX$21</c:f>
              <c:strCache>
                <c:ptCount val="1"/>
                <c:pt idx="0">
                  <c:v>15/08/24</c:v>
                </c:pt>
              </c:strCache>
            </c:strRef>
          </c:cat>
          <c:val>
            <c:numRef>
              <c:f>Sheet12!$EH$20:$EH$21</c:f>
              <c:numCache>
                <c:formatCode>General</c:formatCode>
                <c:ptCount val="1"/>
                <c:pt idx="0">
                  <c:v>-22.1</c:v>
                </c:pt>
              </c:numCache>
            </c:numRef>
          </c:val>
          <c:smooth val="0"/>
          <c:extLst>
            <c:ext xmlns:c16="http://schemas.microsoft.com/office/drawing/2014/chart" uri="{C3380CC4-5D6E-409C-BE32-E72D297353CC}">
              <c16:uniqueId val="{00000030-A278-1247-B461-5E104F2C123D}"/>
            </c:ext>
          </c:extLst>
        </c:ser>
        <c:ser>
          <c:idx val="10"/>
          <c:order val="10"/>
          <c:tx>
            <c:strRef>
              <c:f>Sheet12!$EI$18:$EI$19</c:f>
              <c:strCache>
                <c:ptCount val="1"/>
                <c:pt idx="0">
                  <c:v>Germany</c:v>
                </c:pt>
              </c:strCache>
            </c:strRef>
          </c:tx>
          <c:spPr>
            <a:ln w="38100" cap="rnd">
              <a:solidFill>
                <a:schemeClr val="accent5">
                  <a:lumMod val="60000"/>
                </a:schemeClr>
              </a:solidFill>
              <a:round/>
            </a:ln>
            <a:effectLst/>
          </c:spPr>
          <c:marker>
            <c:symbol val="circle"/>
            <c:size val="8"/>
            <c:spPr>
              <a:solidFill>
                <a:schemeClr val="accent5">
                  <a:lumMod val="60000"/>
                </a:schemeClr>
              </a:solidFill>
              <a:ln>
                <a:noFill/>
              </a:ln>
              <a:effectLst/>
            </c:spPr>
          </c:marker>
          <c:cat>
            <c:strRef>
              <c:f>Sheet12!$DX$20:$DX$21</c:f>
              <c:strCache>
                <c:ptCount val="1"/>
                <c:pt idx="0">
                  <c:v>15/08/24</c:v>
                </c:pt>
              </c:strCache>
            </c:strRef>
          </c:cat>
          <c:val>
            <c:numRef>
              <c:f>Sheet12!$EI$20:$EI$21</c:f>
              <c:numCache>
                <c:formatCode>General</c:formatCode>
                <c:ptCount val="1"/>
                <c:pt idx="0">
                  <c:v>297.39999999999998</c:v>
                </c:pt>
              </c:numCache>
            </c:numRef>
          </c:val>
          <c:smooth val="0"/>
          <c:extLst>
            <c:ext xmlns:c16="http://schemas.microsoft.com/office/drawing/2014/chart" uri="{C3380CC4-5D6E-409C-BE32-E72D297353CC}">
              <c16:uniqueId val="{00000031-A278-1247-B461-5E104F2C123D}"/>
            </c:ext>
          </c:extLst>
        </c:ser>
        <c:ser>
          <c:idx val="11"/>
          <c:order val="11"/>
          <c:tx>
            <c:strRef>
              <c:f>Sheet12!$EJ$18:$EJ$19</c:f>
              <c:strCache>
                <c:ptCount val="1"/>
                <c:pt idx="0">
                  <c:v>Hong Kong</c:v>
                </c:pt>
              </c:strCache>
            </c:strRef>
          </c:tx>
          <c:spPr>
            <a:ln w="38100" cap="rnd">
              <a:solidFill>
                <a:schemeClr val="accent6">
                  <a:lumMod val="60000"/>
                </a:schemeClr>
              </a:solidFill>
              <a:round/>
            </a:ln>
            <a:effectLst/>
          </c:spPr>
          <c:marker>
            <c:symbol val="circle"/>
            <c:size val="8"/>
            <c:spPr>
              <a:solidFill>
                <a:schemeClr val="accent6">
                  <a:lumMod val="60000"/>
                </a:schemeClr>
              </a:solidFill>
              <a:ln>
                <a:noFill/>
              </a:ln>
              <a:effectLst/>
            </c:spPr>
          </c:marker>
          <c:cat>
            <c:strRef>
              <c:f>Sheet12!$DX$20:$DX$21</c:f>
              <c:strCache>
                <c:ptCount val="1"/>
                <c:pt idx="0">
                  <c:v>15/08/24</c:v>
                </c:pt>
              </c:strCache>
            </c:strRef>
          </c:cat>
          <c:val>
            <c:numRef>
              <c:f>Sheet12!$EJ$20:$EJ$21</c:f>
              <c:numCache>
                <c:formatCode>General</c:formatCode>
                <c:ptCount val="1"/>
                <c:pt idx="0">
                  <c:v>34.5</c:v>
                </c:pt>
              </c:numCache>
            </c:numRef>
          </c:val>
          <c:smooth val="0"/>
          <c:extLst>
            <c:ext xmlns:c16="http://schemas.microsoft.com/office/drawing/2014/chart" uri="{C3380CC4-5D6E-409C-BE32-E72D297353CC}">
              <c16:uniqueId val="{00000032-A278-1247-B461-5E104F2C123D}"/>
            </c:ext>
          </c:extLst>
        </c:ser>
        <c:ser>
          <c:idx val="12"/>
          <c:order val="12"/>
          <c:tx>
            <c:strRef>
              <c:f>Sheet12!$EK$18:$EK$19</c:f>
              <c:strCache>
                <c:ptCount val="1"/>
                <c:pt idx="0">
                  <c:v>India</c:v>
                </c:pt>
              </c:strCache>
            </c:strRef>
          </c:tx>
          <c:spPr>
            <a:ln w="38100" cap="rnd">
              <a:solidFill>
                <a:schemeClr val="accent1">
                  <a:lumMod val="80000"/>
                  <a:lumOff val="20000"/>
                </a:schemeClr>
              </a:solidFill>
              <a:round/>
            </a:ln>
            <a:effectLst/>
          </c:spPr>
          <c:marker>
            <c:symbol val="circle"/>
            <c:size val="8"/>
            <c:spPr>
              <a:solidFill>
                <a:schemeClr val="accent1">
                  <a:lumMod val="80000"/>
                  <a:lumOff val="20000"/>
                </a:schemeClr>
              </a:solidFill>
              <a:ln>
                <a:noFill/>
              </a:ln>
              <a:effectLst/>
            </c:spPr>
          </c:marker>
          <c:cat>
            <c:strRef>
              <c:f>Sheet12!$DX$20:$DX$21</c:f>
              <c:strCache>
                <c:ptCount val="1"/>
                <c:pt idx="0">
                  <c:v>15/08/24</c:v>
                </c:pt>
              </c:strCache>
            </c:strRef>
          </c:cat>
          <c:val>
            <c:numRef>
              <c:f>Sheet12!$EK$20:$EK$21</c:f>
              <c:numCache>
                <c:formatCode>General</c:formatCode>
                <c:ptCount val="1"/>
                <c:pt idx="0">
                  <c:v>-23.1</c:v>
                </c:pt>
              </c:numCache>
            </c:numRef>
          </c:val>
          <c:smooth val="0"/>
          <c:extLst>
            <c:ext xmlns:c16="http://schemas.microsoft.com/office/drawing/2014/chart" uri="{C3380CC4-5D6E-409C-BE32-E72D297353CC}">
              <c16:uniqueId val="{00000033-A278-1247-B461-5E104F2C123D}"/>
            </c:ext>
          </c:extLst>
        </c:ser>
        <c:ser>
          <c:idx val="13"/>
          <c:order val="13"/>
          <c:tx>
            <c:strRef>
              <c:f>Sheet12!$EL$18:$EL$19</c:f>
              <c:strCache>
                <c:ptCount val="1"/>
                <c:pt idx="0">
                  <c:v>Indonesia</c:v>
                </c:pt>
              </c:strCache>
            </c:strRef>
          </c:tx>
          <c:spPr>
            <a:ln w="38100" cap="rnd">
              <a:solidFill>
                <a:schemeClr val="accent2">
                  <a:lumMod val="80000"/>
                  <a:lumOff val="20000"/>
                </a:schemeClr>
              </a:solidFill>
              <a:round/>
            </a:ln>
            <a:effectLst/>
          </c:spPr>
          <c:marker>
            <c:symbol val="circle"/>
            <c:size val="8"/>
            <c:spPr>
              <a:solidFill>
                <a:schemeClr val="accent2">
                  <a:lumMod val="80000"/>
                  <a:lumOff val="20000"/>
                </a:schemeClr>
              </a:solidFill>
              <a:ln>
                <a:noFill/>
              </a:ln>
              <a:effectLst/>
            </c:spPr>
          </c:marker>
          <c:cat>
            <c:strRef>
              <c:f>Sheet12!$DX$20:$DX$21</c:f>
              <c:strCache>
                <c:ptCount val="1"/>
                <c:pt idx="0">
                  <c:v>15/08/24</c:v>
                </c:pt>
              </c:strCache>
            </c:strRef>
          </c:cat>
          <c:val>
            <c:numRef>
              <c:f>Sheet12!$EL$20:$EL$21</c:f>
              <c:numCache>
                <c:formatCode>General</c:formatCode>
                <c:ptCount val="1"/>
                <c:pt idx="0">
                  <c:v>-12.1</c:v>
                </c:pt>
              </c:numCache>
            </c:numRef>
          </c:val>
          <c:smooth val="0"/>
          <c:extLst>
            <c:ext xmlns:c16="http://schemas.microsoft.com/office/drawing/2014/chart" uri="{C3380CC4-5D6E-409C-BE32-E72D297353CC}">
              <c16:uniqueId val="{00000034-A278-1247-B461-5E104F2C123D}"/>
            </c:ext>
          </c:extLst>
        </c:ser>
        <c:ser>
          <c:idx val="14"/>
          <c:order val="14"/>
          <c:tx>
            <c:strRef>
              <c:f>Sheet12!$EM$18:$EM$19</c:f>
              <c:strCache>
                <c:ptCount val="1"/>
                <c:pt idx="0">
                  <c:v>Israel</c:v>
                </c:pt>
              </c:strCache>
            </c:strRef>
          </c:tx>
          <c:spPr>
            <a:ln w="38100" cap="rnd">
              <a:solidFill>
                <a:schemeClr val="accent3">
                  <a:lumMod val="80000"/>
                  <a:lumOff val="20000"/>
                </a:schemeClr>
              </a:solidFill>
              <a:round/>
            </a:ln>
            <a:effectLst/>
          </c:spPr>
          <c:marker>
            <c:symbol val="circle"/>
            <c:size val="8"/>
            <c:spPr>
              <a:solidFill>
                <a:schemeClr val="accent3">
                  <a:lumMod val="80000"/>
                  <a:lumOff val="20000"/>
                </a:schemeClr>
              </a:solidFill>
              <a:ln>
                <a:noFill/>
              </a:ln>
              <a:effectLst/>
            </c:spPr>
          </c:marker>
          <c:cat>
            <c:strRef>
              <c:f>Sheet12!$DX$20:$DX$21</c:f>
              <c:strCache>
                <c:ptCount val="1"/>
                <c:pt idx="0">
                  <c:v>15/08/24</c:v>
                </c:pt>
              </c:strCache>
            </c:strRef>
          </c:cat>
          <c:val>
            <c:numRef>
              <c:f>Sheet12!$EM$20:$EM$21</c:f>
              <c:numCache>
                <c:formatCode>General</c:formatCode>
                <c:ptCount val="1"/>
                <c:pt idx="0">
                  <c:v>23.4</c:v>
                </c:pt>
              </c:numCache>
            </c:numRef>
          </c:val>
          <c:smooth val="0"/>
          <c:extLst>
            <c:ext xmlns:c16="http://schemas.microsoft.com/office/drawing/2014/chart" uri="{C3380CC4-5D6E-409C-BE32-E72D297353CC}">
              <c16:uniqueId val="{00000035-A278-1247-B461-5E104F2C123D}"/>
            </c:ext>
          </c:extLst>
        </c:ser>
        <c:ser>
          <c:idx val="15"/>
          <c:order val="15"/>
          <c:tx>
            <c:strRef>
              <c:f>Sheet12!$EN$18:$EN$19</c:f>
              <c:strCache>
                <c:ptCount val="1"/>
                <c:pt idx="0">
                  <c:v>Italy</c:v>
                </c:pt>
              </c:strCache>
            </c:strRef>
          </c:tx>
          <c:spPr>
            <a:ln w="38100" cap="rnd">
              <a:solidFill>
                <a:schemeClr val="accent4">
                  <a:lumMod val="80000"/>
                  <a:lumOff val="20000"/>
                </a:schemeClr>
              </a:solidFill>
              <a:round/>
            </a:ln>
            <a:effectLst/>
          </c:spPr>
          <c:marker>
            <c:symbol val="circle"/>
            <c:size val="8"/>
            <c:spPr>
              <a:solidFill>
                <a:schemeClr val="accent4">
                  <a:lumMod val="80000"/>
                  <a:lumOff val="20000"/>
                </a:schemeClr>
              </a:solidFill>
              <a:ln>
                <a:noFill/>
              </a:ln>
              <a:effectLst/>
            </c:spPr>
          </c:marker>
          <c:cat>
            <c:strRef>
              <c:f>Sheet12!$DX$20:$DX$21</c:f>
              <c:strCache>
                <c:ptCount val="1"/>
                <c:pt idx="0">
                  <c:v>15/08/24</c:v>
                </c:pt>
              </c:strCache>
            </c:strRef>
          </c:cat>
          <c:val>
            <c:numRef>
              <c:f>Sheet12!$EN$20:$EN$21</c:f>
              <c:numCache>
                <c:formatCode>General</c:formatCode>
                <c:ptCount val="1"/>
                <c:pt idx="0">
                  <c:v>-56.7</c:v>
                </c:pt>
              </c:numCache>
            </c:numRef>
          </c:val>
          <c:smooth val="0"/>
          <c:extLst>
            <c:ext xmlns:c16="http://schemas.microsoft.com/office/drawing/2014/chart" uri="{C3380CC4-5D6E-409C-BE32-E72D297353CC}">
              <c16:uniqueId val="{00000036-A278-1247-B461-5E104F2C123D}"/>
            </c:ext>
          </c:extLst>
        </c:ser>
        <c:ser>
          <c:idx val="16"/>
          <c:order val="16"/>
          <c:tx>
            <c:strRef>
              <c:f>Sheet12!$EO$18:$EO$19</c:f>
              <c:strCache>
                <c:ptCount val="1"/>
                <c:pt idx="0">
                  <c:v>Japan</c:v>
                </c:pt>
              </c:strCache>
            </c:strRef>
          </c:tx>
          <c:spPr>
            <a:ln w="38100" cap="rnd">
              <a:solidFill>
                <a:schemeClr val="accent5">
                  <a:lumMod val="80000"/>
                  <a:lumOff val="20000"/>
                </a:schemeClr>
              </a:solidFill>
              <a:round/>
            </a:ln>
            <a:effectLst/>
          </c:spPr>
          <c:marker>
            <c:symbol val="circle"/>
            <c:size val="8"/>
            <c:spPr>
              <a:solidFill>
                <a:schemeClr val="accent5">
                  <a:lumMod val="80000"/>
                  <a:lumOff val="20000"/>
                </a:schemeClr>
              </a:solidFill>
              <a:ln>
                <a:noFill/>
              </a:ln>
              <a:effectLst/>
            </c:spPr>
          </c:marker>
          <c:cat>
            <c:strRef>
              <c:f>Sheet12!$DX$20:$DX$21</c:f>
              <c:strCache>
                <c:ptCount val="1"/>
                <c:pt idx="0">
                  <c:v>15/08/24</c:v>
                </c:pt>
              </c:strCache>
            </c:strRef>
          </c:cat>
          <c:val>
            <c:numRef>
              <c:f>Sheet12!$EO$20:$EO$21</c:f>
              <c:numCache>
                <c:formatCode>General</c:formatCode>
                <c:ptCount val="1"/>
                <c:pt idx="0">
                  <c:v>49.7</c:v>
                </c:pt>
              </c:numCache>
            </c:numRef>
          </c:val>
          <c:smooth val="0"/>
          <c:extLst>
            <c:ext xmlns:c16="http://schemas.microsoft.com/office/drawing/2014/chart" uri="{C3380CC4-5D6E-409C-BE32-E72D297353CC}">
              <c16:uniqueId val="{00000037-A278-1247-B461-5E104F2C123D}"/>
            </c:ext>
          </c:extLst>
        </c:ser>
        <c:ser>
          <c:idx val="17"/>
          <c:order val="17"/>
          <c:tx>
            <c:strRef>
              <c:f>Sheet12!$EP$18:$EP$19</c:f>
              <c:strCache>
                <c:ptCount val="1"/>
                <c:pt idx="0">
                  <c:v>Malaysia</c:v>
                </c:pt>
              </c:strCache>
            </c:strRef>
          </c:tx>
          <c:spPr>
            <a:ln w="38100" cap="rnd">
              <a:solidFill>
                <a:schemeClr val="accent6">
                  <a:lumMod val="80000"/>
                  <a:lumOff val="20000"/>
                </a:schemeClr>
              </a:solidFill>
              <a:round/>
            </a:ln>
            <a:effectLst/>
          </c:spPr>
          <c:marker>
            <c:symbol val="circle"/>
            <c:size val="8"/>
            <c:spPr>
              <a:solidFill>
                <a:schemeClr val="accent6">
                  <a:lumMod val="80000"/>
                  <a:lumOff val="20000"/>
                </a:schemeClr>
              </a:solidFill>
              <a:ln>
                <a:noFill/>
              </a:ln>
              <a:effectLst/>
            </c:spPr>
          </c:marker>
          <c:cat>
            <c:strRef>
              <c:f>Sheet12!$DX$20:$DX$21</c:f>
              <c:strCache>
                <c:ptCount val="1"/>
                <c:pt idx="0">
                  <c:v>15/08/24</c:v>
                </c:pt>
              </c:strCache>
            </c:strRef>
          </c:cat>
          <c:val>
            <c:numRef>
              <c:f>Sheet12!$EP$20:$EP$21</c:f>
              <c:numCache>
                <c:formatCode>General</c:formatCode>
                <c:ptCount val="1"/>
                <c:pt idx="0">
                  <c:v>23.4</c:v>
                </c:pt>
              </c:numCache>
            </c:numRef>
          </c:val>
          <c:smooth val="0"/>
          <c:extLst>
            <c:ext xmlns:c16="http://schemas.microsoft.com/office/drawing/2014/chart" uri="{C3380CC4-5D6E-409C-BE32-E72D297353CC}">
              <c16:uniqueId val="{00000038-A278-1247-B461-5E104F2C123D}"/>
            </c:ext>
          </c:extLst>
        </c:ser>
        <c:ser>
          <c:idx val="18"/>
          <c:order val="18"/>
          <c:tx>
            <c:strRef>
              <c:f>Sheet12!$EQ$18:$EQ$19</c:f>
              <c:strCache>
                <c:ptCount val="1"/>
                <c:pt idx="0">
                  <c:v>Mexico</c:v>
                </c:pt>
              </c:strCache>
            </c:strRef>
          </c:tx>
          <c:spPr>
            <a:ln w="38100" cap="rnd">
              <a:solidFill>
                <a:schemeClr val="accent1">
                  <a:lumMod val="80000"/>
                </a:schemeClr>
              </a:solidFill>
              <a:round/>
            </a:ln>
            <a:effectLst/>
          </c:spPr>
          <c:marker>
            <c:symbol val="circle"/>
            <c:size val="8"/>
            <c:spPr>
              <a:solidFill>
                <a:schemeClr val="accent1">
                  <a:lumMod val="80000"/>
                </a:schemeClr>
              </a:solidFill>
              <a:ln>
                <a:noFill/>
              </a:ln>
              <a:effectLst/>
            </c:spPr>
          </c:marker>
          <c:cat>
            <c:strRef>
              <c:f>Sheet12!$DX$20:$DX$21</c:f>
              <c:strCache>
                <c:ptCount val="1"/>
                <c:pt idx="0">
                  <c:v>15/08/24</c:v>
                </c:pt>
              </c:strCache>
            </c:strRef>
          </c:cat>
          <c:val>
            <c:numRef>
              <c:f>Sheet12!$EQ$20:$EQ$21</c:f>
              <c:numCache>
                <c:formatCode>General</c:formatCode>
                <c:ptCount val="1"/>
                <c:pt idx="0">
                  <c:v>-12.4</c:v>
                </c:pt>
              </c:numCache>
            </c:numRef>
          </c:val>
          <c:smooth val="0"/>
          <c:extLst>
            <c:ext xmlns:c16="http://schemas.microsoft.com/office/drawing/2014/chart" uri="{C3380CC4-5D6E-409C-BE32-E72D297353CC}">
              <c16:uniqueId val="{00000039-A278-1247-B461-5E104F2C123D}"/>
            </c:ext>
          </c:extLst>
        </c:ser>
        <c:ser>
          <c:idx val="19"/>
          <c:order val="19"/>
          <c:tx>
            <c:strRef>
              <c:f>Sheet12!$ER$18:$ER$19</c:f>
              <c:strCache>
                <c:ptCount val="1"/>
                <c:pt idx="0">
                  <c:v>Netherlands</c:v>
                </c:pt>
              </c:strCache>
            </c:strRef>
          </c:tx>
          <c:spPr>
            <a:ln w="38100" cap="rnd">
              <a:solidFill>
                <a:schemeClr val="accent2">
                  <a:lumMod val="80000"/>
                </a:schemeClr>
              </a:solidFill>
              <a:round/>
            </a:ln>
            <a:effectLst/>
          </c:spPr>
          <c:marker>
            <c:symbol val="circle"/>
            <c:size val="8"/>
            <c:spPr>
              <a:solidFill>
                <a:schemeClr val="accent2">
                  <a:lumMod val="80000"/>
                </a:schemeClr>
              </a:solidFill>
              <a:ln>
                <a:noFill/>
              </a:ln>
              <a:effectLst/>
            </c:spPr>
          </c:marker>
          <c:cat>
            <c:strRef>
              <c:f>Sheet12!$DX$20:$DX$21</c:f>
              <c:strCache>
                <c:ptCount val="1"/>
                <c:pt idx="0">
                  <c:v>15/08/24</c:v>
                </c:pt>
              </c:strCache>
            </c:strRef>
          </c:cat>
          <c:val>
            <c:numRef>
              <c:f>Sheet12!$ER$20:$ER$21</c:f>
              <c:numCache>
                <c:formatCode>General</c:formatCode>
                <c:ptCount val="1"/>
                <c:pt idx="0">
                  <c:v>89.7</c:v>
                </c:pt>
              </c:numCache>
            </c:numRef>
          </c:val>
          <c:smooth val="0"/>
          <c:extLst>
            <c:ext xmlns:c16="http://schemas.microsoft.com/office/drawing/2014/chart" uri="{C3380CC4-5D6E-409C-BE32-E72D297353CC}">
              <c16:uniqueId val="{0000003A-A278-1247-B461-5E104F2C123D}"/>
            </c:ext>
          </c:extLst>
        </c:ser>
        <c:ser>
          <c:idx val="20"/>
          <c:order val="20"/>
          <c:tx>
            <c:strRef>
              <c:f>Sheet12!$ES$18:$ES$19</c:f>
              <c:strCache>
                <c:ptCount val="1"/>
                <c:pt idx="0">
                  <c:v>Nigeria</c:v>
                </c:pt>
              </c:strCache>
            </c:strRef>
          </c:tx>
          <c:spPr>
            <a:ln w="38100" cap="rnd">
              <a:solidFill>
                <a:schemeClr val="accent3">
                  <a:lumMod val="80000"/>
                </a:schemeClr>
              </a:solidFill>
              <a:round/>
            </a:ln>
            <a:effectLst/>
          </c:spPr>
          <c:marker>
            <c:symbol val="circle"/>
            <c:size val="8"/>
            <c:spPr>
              <a:solidFill>
                <a:schemeClr val="accent3">
                  <a:lumMod val="80000"/>
                </a:schemeClr>
              </a:solidFill>
              <a:ln>
                <a:noFill/>
              </a:ln>
              <a:effectLst/>
            </c:spPr>
          </c:marker>
          <c:cat>
            <c:strRef>
              <c:f>Sheet12!$DX$20:$DX$21</c:f>
              <c:strCache>
                <c:ptCount val="1"/>
                <c:pt idx="0">
                  <c:v>15/08/24</c:v>
                </c:pt>
              </c:strCache>
            </c:strRef>
          </c:cat>
          <c:val>
            <c:numRef>
              <c:f>Sheet12!$ES$20:$ES$21</c:f>
              <c:numCache>
                <c:formatCode>General</c:formatCode>
                <c:ptCount val="1"/>
                <c:pt idx="0">
                  <c:v>34.5</c:v>
                </c:pt>
              </c:numCache>
            </c:numRef>
          </c:val>
          <c:smooth val="0"/>
          <c:extLst>
            <c:ext xmlns:c16="http://schemas.microsoft.com/office/drawing/2014/chart" uri="{C3380CC4-5D6E-409C-BE32-E72D297353CC}">
              <c16:uniqueId val="{0000003B-A278-1247-B461-5E104F2C123D}"/>
            </c:ext>
          </c:extLst>
        </c:ser>
        <c:ser>
          <c:idx val="21"/>
          <c:order val="21"/>
          <c:tx>
            <c:strRef>
              <c:f>Sheet12!$ET$18:$ET$19</c:f>
              <c:strCache>
                <c:ptCount val="1"/>
                <c:pt idx="0">
                  <c:v>Norway</c:v>
                </c:pt>
              </c:strCache>
            </c:strRef>
          </c:tx>
          <c:spPr>
            <a:ln w="38100" cap="rnd">
              <a:solidFill>
                <a:schemeClr val="accent4">
                  <a:lumMod val="80000"/>
                </a:schemeClr>
              </a:solidFill>
              <a:round/>
            </a:ln>
            <a:effectLst/>
          </c:spPr>
          <c:marker>
            <c:symbol val="circle"/>
            <c:size val="8"/>
            <c:spPr>
              <a:solidFill>
                <a:schemeClr val="accent4">
                  <a:lumMod val="80000"/>
                </a:schemeClr>
              </a:solidFill>
              <a:ln>
                <a:noFill/>
              </a:ln>
              <a:effectLst/>
            </c:spPr>
          </c:marker>
          <c:cat>
            <c:strRef>
              <c:f>Sheet12!$DX$20:$DX$21</c:f>
              <c:strCache>
                <c:ptCount val="1"/>
                <c:pt idx="0">
                  <c:v>15/08/24</c:v>
                </c:pt>
              </c:strCache>
            </c:strRef>
          </c:cat>
          <c:val>
            <c:numRef>
              <c:f>Sheet12!$ET$20:$ET$21</c:f>
              <c:numCache>
                <c:formatCode>General</c:formatCode>
                <c:ptCount val="1"/>
                <c:pt idx="0">
                  <c:v>78.900000000000006</c:v>
                </c:pt>
              </c:numCache>
            </c:numRef>
          </c:val>
          <c:smooth val="0"/>
          <c:extLst>
            <c:ext xmlns:c16="http://schemas.microsoft.com/office/drawing/2014/chart" uri="{C3380CC4-5D6E-409C-BE32-E72D297353CC}">
              <c16:uniqueId val="{0000003C-A278-1247-B461-5E104F2C123D}"/>
            </c:ext>
          </c:extLst>
        </c:ser>
        <c:ser>
          <c:idx val="22"/>
          <c:order val="22"/>
          <c:tx>
            <c:strRef>
              <c:f>Sheet12!$EU$18:$EU$19</c:f>
              <c:strCache>
                <c:ptCount val="1"/>
                <c:pt idx="0">
                  <c:v>Peru</c:v>
                </c:pt>
              </c:strCache>
            </c:strRef>
          </c:tx>
          <c:spPr>
            <a:ln w="38100" cap="rnd">
              <a:solidFill>
                <a:schemeClr val="accent5">
                  <a:lumMod val="80000"/>
                </a:schemeClr>
              </a:solidFill>
              <a:round/>
            </a:ln>
            <a:effectLst/>
          </c:spPr>
          <c:marker>
            <c:symbol val="circle"/>
            <c:size val="8"/>
            <c:spPr>
              <a:solidFill>
                <a:schemeClr val="accent5">
                  <a:lumMod val="80000"/>
                </a:schemeClr>
              </a:solidFill>
              <a:ln>
                <a:noFill/>
              </a:ln>
              <a:effectLst/>
            </c:spPr>
          </c:marker>
          <c:cat>
            <c:strRef>
              <c:f>Sheet12!$DX$20:$DX$21</c:f>
              <c:strCache>
                <c:ptCount val="1"/>
                <c:pt idx="0">
                  <c:v>15/08/24</c:v>
                </c:pt>
              </c:strCache>
            </c:strRef>
          </c:cat>
          <c:val>
            <c:numRef>
              <c:f>Sheet12!$EU$20:$EU$21</c:f>
              <c:numCache>
                <c:formatCode>General</c:formatCode>
                <c:ptCount val="1"/>
                <c:pt idx="0">
                  <c:v>8.9</c:v>
                </c:pt>
              </c:numCache>
            </c:numRef>
          </c:val>
          <c:smooth val="0"/>
          <c:extLst>
            <c:ext xmlns:c16="http://schemas.microsoft.com/office/drawing/2014/chart" uri="{C3380CC4-5D6E-409C-BE32-E72D297353CC}">
              <c16:uniqueId val="{0000003D-A278-1247-B461-5E104F2C123D}"/>
            </c:ext>
          </c:extLst>
        </c:ser>
        <c:ser>
          <c:idx val="23"/>
          <c:order val="23"/>
          <c:tx>
            <c:strRef>
              <c:f>Sheet12!$EV$18:$EV$19</c:f>
              <c:strCache>
                <c:ptCount val="1"/>
                <c:pt idx="0">
                  <c:v>Philippines</c:v>
                </c:pt>
              </c:strCache>
            </c:strRef>
          </c:tx>
          <c:spPr>
            <a:ln w="38100" cap="rnd">
              <a:solidFill>
                <a:schemeClr val="accent6">
                  <a:lumMod val="80000"/>
                </a:schemeClr>
              </a:solidFill>
              <a:round/>
            </a:ln>
            <a:effectLst/>
          </c:spPr>
          <c:marker>
            <c:symbol val="circle"/>
            <c:size val="8"/>
            <c:spPr>
              <a:solidFill>
                <a:schemeClr val="accent6">
                  <a:lumMod val="80000"/>
                </a:schemeClr>
              </a:solidFill>
              <a:ln>
                <a:noFill/>
              </a:ln>
              <a:effectLst/>
            </c:spPr>
          </c:marker>
          <c:cat>
            <c:strRef>
              <c:f>Sheet12!$DX$20:$DX$21</c:f>
              <c:strCache>
                <c:ptCount val="1"/>
                <c:pt idx="0">
                  <c:v>15/08/24</c:v>
                </c:pt>
              </c:strCache>
            </c:strRef>
          </c:cat>
          <c:val>
            <c:numRef>
              <c:f>Sheet12!$EV$20:$EV$21</c:f>
              <c:numCache>
                <c:formatCode>General</c:formatCode>
                <c:ptCount val="1"/>
                <c:pt idx="0">
                  <c:v>-8.9</c:v>
                </c:pt>
              </c:numCache>
            </c:numRef>
          </c:val>
          <c:smooth val="0"/>
          <c:extLst>
            <c:ext xmlns:c16="http://schemas.microsoft.com/office/drawing/2014/chart" uri="{C3380CC4-5D6E-409C-BE32-E72D297353CC}">
              <c16:uniqueId val="{0000003E-A278-1247-B461-5E104F2C123D}"/>
            </c:ext>
          </c:extLst>
        </c:ser>
        <c:ser>
          <c:idx val="24"/>
          <c:order val="24"/>
          <c:tx>
            <c:strRef>
              <c:f>Sheet12!$EW$18:$EW$19</c:f>
              <c:strCache>
                <c:ptCount val="1"/>
                <c:pt idx="0">
                  <c:v>Russia</c:v>
                </c:pt>
              </c:strCache>
            </c:strRef>
          </c:tx>
          <c:spPr>
            <a:ln w="38100" cap="rnd">
              <a:solidFill>
                <a:schemeClr val="accent1">
                  <a:lumMod val="60000"/>
                  <a:lumOff val="40000"/>
                </a:schemeClr>
              </a:solidFill>
              <a:round/>
            </a:ln>
            <a:effectLst/>
          </c:spPr>
          <c:marker>
            <c:symbol val="circle"/>
            <c:size val="8"/>
            <c:spPr>
              <a:solidFill>
                <a:schemeClr val="accent1">
                  <a:lumMod val="60000"/>
                  <a:lumOff val="40000"/>
                </a:schemeClr>
              </a:solidFill>
              <a:ln>
                <a:noFill/>
              </a:ln>
              <a:effectLst/>
            </c:spPr>
          </c:marker>
          <c:cat>
            <c:strRef>
              <c:f>Sheet12!$DX$20:$DX$21</c:f>
              <c:strCache>
                <c:ptCount val="1"/>
                <c:pt idx="0">
                  <c:v>15/08/24</c:v>
                </c:pt>
              </c:strCache>
            </c:strRef>
          </c:cat>
          <c:val>
            <c:numRef>
              <c:f>Sheet12!$EW$20:$EW$21</c:f>
              <c:numCache>
                <c:formatCode>General</c:formatCode>
                <c:ptCount val="1"/>
                <c:pt idx="0">
                  <c:v>67.8</c:v>
                </c:pt>
              </c:numCache>
            </c:numRef>
          </c:val>
          <c:smooth val="0"/>
          <c:extLst>
            <c:ext xmlns:c16="http://schemas.microsoft.com/office/drawing/2014/chart" uri="{C3380CC4-5D6E-409C-BE32-E72D297353CC}">
              <c16:uniqueId val="{0000003F-A278-1247-B461-5E104F2C123D}"/>
            </c:ext>
          </c:extLst>
        </c:ser>
        <c:ser>
          <c:idx val="25"/>
          <c:order val="25"/>
          <c:tx>
            <c:strRef>
              <c:f>Sheet12!$EX$18:$EX$19</c:f>
              <c:strCache>
                <c:ptCount val="1"/>
                <c:pt idx="0">
                  <c:v>Saudi Arabia</c:v>
                </c:pt>
              </c:strCache>
            </c:strRef>
          </c:tx>
          <c:spPr>
            <a:ln w="38100" cap="rnd">
              <a:solidFill>
                <a:schemeClr val="accent2">
                  <a:lumMod val="60000"/>
                  <a:lumOff val="40000"/>
                </a:schemeClr>
              </a:solidFill>
              <a:round/>
            </a:ln>
            <a:effectLst/>
          </c:spPr>
          <c:marker>
            <c:symbol val="circle"/>
            <c:size val="8"/>
            <c:spPr>
              <a:solidFill>
                <a:schemeClr val="accent2">
                  <a:lumMod val="60000"/>
                  <a:lumOff val="40000"/>
                </a:schemeClr>
              </a:solidFill>
              <a:ln>
                <a:noFill/>
              </a:ln>
              <a:effectLst/>
            </c:spPr>
          </c:marker>
          <c:cat>
            <c:strRef>
              <c:f>Sheet12!$DX$20:$DX$21</c:f>
              <c:strCache>
                <c:ptCount val="1"/>
                <c:pt idx="0">
                  <c:v>15/08/24</c:v>
                </c:pt>
              </c:strCache>
            </c:strRef>
          </c:cat>
          <c:val>
            <c:numRef>
              <c:f>Sheet12!$EX$20:$EX$21</c:f>
              <c:numCache>
                <c:formatCode>General</c:formatCode>
                <c:ptCount val="1"/>
                <c:pt idx="0">
                  <c:v>34.5</c:v>
                </c:pt>
              </c:numCache>
            </c:numRef>
          </c:val>
          <c:smooth val="0"/>
          <c:extLst>
            <c:ext xmlns:c16="http://schemas.microsoft.com/office/drawing/2014/chart" uri="{C3380CC4-5D6E-409C-BE32-E72D297353CC}">
              <c16:uniqueId val="{00000040-A278-1247-B461-5E104F2C123D}"/>
            </c:ext>
          </c:extLst>
        </c:ser>
        <c:ser>
          <c:idx val="26"/>
          <c:order val="26"/>
          <c:tx>
            <c:strRef>
              <c:f>Sheet12!$EY$18:$EY$19</c:f>
              <c:strCache>
                <c:ptCount val="1"/>
                <c:pt idx="0">
                  <c:v>Singapore</c:v>
                </c:pt>
              </c:strCache>
            </c:strRef>
          </c:tx>
          <c:spPr>
            <a:ln w="38100" cap="rnd">
              <a:solidFill>
                <a:schemeClr val="accent3">
                  <a:lumMod val="60000"/>
                  <a:lumOff val="40000"/>
                </a:schemeClr>
              </a:solidFill>
              <a:round/>
            </a:ln>
            <a:effectLst/>
          </c:spPr>
          <c:marker>
            <c:symbol val="circle"/>
            <c:size val="8"/>
            <c:spPr>
              <a:solidFill>
                <a:schemeClr val="accent3">
                  <a:lumMod val="60000"/>
                  <a:lumOff val="40000"/>
                </a:schemeClr>
              </a:solidFill>
              <a:ln>
                <a:noFill/>
              </a:ln>
              <a:effectLst/>
            </c:spPr>
          </c:marker>
          <c:cat>
            <c:strRef>
              <c:f>Sheet12!$DX$20:$DX$21</c:f>
              <c:strCache>
                <c:ptCount val="1"/>
                <c:pt idx="0">
                  <c:v>15/08/24</c:v>
                </c:pt>
              </c:strCache>
            </c:strRef>
          </c:cat>
          <c:val>
            <c:numRef>
              <c:f>Sheet12!$EY$20:$EY$21</c:f>
              <c:numCache>
                <c:formatCode>General</c:formatCode>
                <c:ptCount val="1"/>
                <c:pt idx="0">
                  <c:v>67.8</c:v>
                </c:pt>
              </c:numCache>
            </c:numRef>
          </c:val>
          <c:smooth val="0"/>
          <c:extLst>
            <c:ext xmlns:c16="http://schemas.microsoft.com/office/drawing/2014/chart" uri="{C3380CC4-5D6E-409C-BE32-E72D297353CC}">
              <c16:uniqueId val="{00000041-A278-1247-B461-5E104F2C123D}"/>
            </c:ext>
          </c:extLst>
        </c:ser>
        <c:ser>
          <c:idx val="27"/>
          <c:order val="27"/>
          <c:tx>
            <c:strRef>
              <c:f>Sheet12!$EZ$18:$EZ$19</c:f>
              <c:strCache>
                <c:ptCount val="1"/>
                <c:pt idx="0">
                  <c:v>South Africa</c:v>
                </c:pt>
              </c:strCache>
            </c:strRef>
          </c:tx>
          <c:spPr>
            <a:ln w="38100" cap="rnd">
              <a:solidFill>
                <a:schemeClr val="accent4">
                  <a:lumMod val="60000"/>
                  <a:lumOff val="40000"/>
                </a:schemeClr>
              </a:solidFill>
              <a:round/>
            </a:ln>
            <a:effectLst/>
          </c:spPr>
          <c:marker>
            <c:symbol val="circle"/>
            <c:size val="8"/>
            <c:spPr>
              <a:solidFill>
                <a:schemeClr val="accent4">
                  <a:lumMod val="60000"/>
                  <a:lumOff val="40000"/>
                </a:schemeClr>
              </a:solidFill>
              <a:ln>
                <a:noFill/>
              </a:ln>
              <a:effectLst/>
            </c:spPr>
          </c:marker>
          <c:cat>
            <c:strRef>
              <c:f>Sheet12!$DX$20:$DX$21</c:f>
              <c:strCache>
                <c:ptCount val="1"/>
                <c:pt idx="0">
                  <c:v>15/08/24</c:v>
                </c:pt>
              </c:strCache>
            </c:strRef>
          </c:cat>
          <c:val>
            <c:numRef>
              <c:f>Sheet12!$EZ$20:$EZ$21</c:f>
              <c:numCache>
                <c:formatCode>General</c:formatCode>
                <c:ptCount val="1"/>
                <c:pt idx="0">
                  <c:v>8.9</c:v>
                </c:pt>
              </c:numCache>
            </c:numRef>
          </c:val>
          <c:smooth val="0"/>
          <c:extLst>
            <c:ext xmlns:c16="http://schemas.microsoft.com/office/drawing/2014/chart" uri="{C3380CC4-5D6E-409C-BE32-E72D297353CC}">
              <c16:uniqueId val="{00000042-A278-1247-B461-5E104F2C123D}"/>
            </c:ext>
          </c:extLst>
        </c:ser>
        <c:ser>
          <c:idx val="28"/>
          <c:order val="28"/>
          <c:tx>
            <c:strRef>
              <c:f>Sheet12!$FA$18:$FA$19</c:f>
              <c:strCache>
                <c:ptCount val="1"/>
                <c:pt idx="0">
                  <c:v>South Korea</c:v>
                </c:pt>
              </c:strCache>
            </c:strRef>
          </c:tx>
          <c:spPr>
            <a:ln w="38100" cap="rnd">
              <a:solidFill>
                <a:schemeClr val="accent5">
                  <a:lumMod val="60000"/>
                  <a:lumOff val="40000"/>
                </a:schemeClr>
              </a:solidFill>
              <a:round/>
            </a:ln>
            <a:effectLst/>
          </c:spPr>
          <c:marker>
            <c:symbol val="circle"/>
            <c:size val="8"/>
            <c:spPr>
              <a:solidFill>
                <a:schemeClr val="accent5">
                  <a:lumMod val="60000"/>
                  <a:lumOff val="40000"/>
                </a:schemeClr>
              </a:solidFill>
              <a:ln>
                <a:noFill/>
              </a:ln>
              <a:effectLst/>
            </c:spPr>
          </c:marker>
          <c:cat>
            <c:strRef>
              <c:f>Sheet12!$DX$20:$DX$21</c:f>
              <c:strCache>
                <c:ptCount val="1"/>
                <c:pt idx="0">
                  <c:v>15/08/24</c:v>
                </c:pt>
              </c:strCache>
            </c:strRef>
          </c:cat>
          <c:val>
            <c:numRef>
              <c:f>Sheet12!$FA$20:$FA$21</c:f>
              <c:numCache>
                <c:formatCode>General</c:formatCode>
                <c:ptCount val="1"/>
                <c:pt idx="0">
                  <c:v>67.400000000000006</c:v>
                </c:pt>
              </c:numCache>
            </c:numRef>
          </c:val>
          <c:smooth val="0"/>
          <c:extLst>
            <c:ext xmlns:c16="http://schemas.microsoft.com/office/drawing/2014/chart" uri="{C3380CC4-5D6E-409C-BE32-E72D297353CC}">
              <c16:uniqueId val="{00000043-A278-1247-B461-5E104F2C123D}"/>
            </c:ext>
          </c:extLst>
        </c:ser>
        <c:ser>
          <c:idx val="29"/>
          <c:order val="29"/>
          <c:tx>
            <c:strRef>
              <c:f>Sheet12!$FB$18:$FB$19</c:f>
              <c:strCache>
                <c:ptCount val="1"/>
                <c:pt idx="0">
                  <c:v>Spain</c:v>
                </c:pt>
              </c:strCache>
            </c:strRef>
          </c:tx>
          <c:spPr>
            <a:ln w="38100" cap="rnd">
              <a:solidFill>
                <a:schemeClr val="accent6">
                  <a:lumMod val="60000"/>
                  <a:lumOff val="40000"/>
                </a:schemeClr>
              </a:solidFill>
              <a:round/>
            </a:ln>
            <a:effectLst/>
          </c:spPr>
          <c:marker>
            <c:symbol val="circle"/>
            <c:size val="8"/>
            <c:spPr>
              <a:solidFill>
                <a:schemeClr val="accent6">
                  <a:lumMod val="60000"/>
                  <a:lumOff val="40000"/>
                </a:schemeClr>
              </a:solidFill>
              <a:ln>
                <a:noFill/>
              </a:ln>
              <a:effectLst/>
            </c:spPr>
          </c:marker>
          <c:cat>
            <c:strRef>
              <c:f>Sheet12!$DX$20:$DX$21</c:f>
              <c:strCache>
                <c:ptCount val="1"/>
                <c:pt idx="0">
                  <c:v>15/08/24</c:v>
                </c:pt>
              </c:strCache>
            </c:strRef>
          </c:cat>
          <c:val>
            <c:numRef>
              <c:f>Sheet12!$FB$20:$FB$21</c:f>
              <c:numCache>
                <c:formatCode>General</c:formatCode>
                <c:ptCount val="1"/>
                <c:pt idx="0">
                  <c:v>23.4</c:v>
                </c:pt>
              </c:numCache>
            </c:numRef>
          </c:val>
          <c:smooth val="0"/>
          <c:extLst>
            <c:ext xmlns:c16="http://schemas.microsoft.com/office/drawing/2014/chart" uri="{C3380CC4-5D6E-409C-BE32-E72D297353CC}">
              <c16:uniqueId val="{00000044-A278-1247-B461-5E104F2C123D}"/>
            </c:ext>
          </c:extLst>
        </c:ser>
        <c:ser>
          <c:idx val="30"/>
          <c:order val="30"/>
          <c:tx>
            <c:strRef>
              <c:f>Sheet12!$FC$18:$FC$19</c:f>
              <c:strCache>
                <c:ptCount val="1"/>
                <c:pt idx="0">
                  <c:v>Sweden</c:v>
                </c:pt>
              </c:strCache>
            </c:strRef>
          </c:tx>
          <c:spPr>
            <a:ln w="38100" cap="rnd">
              <a:solidFill>
                <a:schemeClr val="accent1">
                  <a:lumMod val="50000"/>
                </a:schemeClr>
              </a:solidFill>
              <a:round/>
            </a:ln>
            <a:effectLst/>
          </c:spPr>
          <c:marker>
            <c:symbol val="circle"/>
            <c:size val="8"/>
            <c:spPr>
              <a:solidFill>
                <a:schemeClr val="accent1">
                  <a:lumMod val="50000"/>
                </a:schemeClr>
              </a:solidFill>
              <a:ln>
                <a:noFill/>
              </a:ln>
              <a:effectLst/>
            </c:spPr>
          </c:marker>
          <c:cat>
            <c:strRef>
              <c:f>Sheet12!$DX$20:$DX$21</c:f>
              <c:strCache>
                <c:ptCount val="1"/>
                <c:pt idx="0">
                  <c:v>15/08/24</c:v>
                </c:pt>
              </c:strCache>
            </c:strRef>
          </c:cat>
          <c:val>
            <c:numRef>
              <c:f>Sheet12!$FC$20:$FC$21</c:f>
              <c:numCache>
                <c:formatCode>General</c:formatCode>
                <c:ptCount val="1"/>
                <c:pt idx="0">
                  <c:v>34.5</c:v>
                </c:pt>
              </c:numCache>
            </c:numRef>
          </c:val>
          <c:smooth val="0"/>
          <c:extLst>
            <c:ext xmlns:c16="http://schemas.microsoft.com/office/drawing/2014/chart" uri="{C3380CC4-5D6E-409C-BE32-E72D297353CC}">
              <c16:uniqueId val="{00000045-A278-1247-B461-5E104F2C123D}"/>
            </c:ext>
          </c:extLst>
        </c:ser>
        <c:ser>
          <c:idx val="31"/>
          <c:order val="31"/>
          <c:tx>
            <c:strRef>
              <c:f>Sheet12!$FD$18:$FD$19</c:f>
              <c:strCache>
                <c:ptCount val="1"/>
                <c:pt idx="0">
                  <c:v>Switzerland</c:v>
                </c:pt>
              </c:strCache>
            </c:strRef>
          </c:tx>
          <c:spPr>
            <a:ln w="38100" cap="rnd">
              <a:solidFill>
                <a:schemeClr val="accent2">
                  <a:lumMod val="50000"/>
                </a:schemeClr>
              </a:solidFill>
              <a:round/>
            </a:ln>
            <a:effectLst/>
          </c:spPr>
          <c:marker>
            <c:symbol val="circle"/>
            <c:size val="8"/>
            <c:spPr>
              <a:solidFill>
                <a:schemeClr val="accent2">
                  <a:lumMod val="50000"/>
                </a:schemeClr>
              </a:solidFill>
              <a:ln>
                <a:noFill/>
              </a:ln>
              <a:effectLst/>
            </c:spPr>
          </c:marker>
          <c:cat>
            <c:strRef>
              <c:f>Sheet12!$DX$20:$DX$21</c:f>
              <c:strCache>
                <c:ptCount val="1"/>
                <c:pt idx="0">
                  <c:v>15/08/24</c:v>
                </c:pt>
              </c:strCache>
            </c:strRef>
          </c:cat>
          <c:val>
            <c:numRef>
              <c:f>Sheet12!$FD$20:$FD$21</c:f>
              <c:numCache>
                <c:formatCode>General</c:formatCode>
                <c:ptCount val="1"/>
                <c:pt idx="0">
                  <c:v>67.8</c:v>
                </c:pt>
              </c:numCache>
            </c:numRef>
          </c:val>
          <c:smooth val="0"/>
          <c:extLst>
            <c:ext xmlns:c16="http://schemas.microsoft.com/office/drawing/2014/chart" uri="{C3380CC4-5D6E-409C-BE32-E72D297353CC}">
              <c16:uniqueId val="{00000046-A278-1247-B461-5E104F2C123D}"/>
            </c:ext>
          </c:extLst>
        </c:ser>
        <c:ser>
          <c:idx val="32"/>
          <c:order val="32"/>
          <c:tx>
            <c:strRef>
              <c:f>Sheet12!$FE$18:$FE$19</c:f>
              <c:strCache>
                <c:ptCount val="1"/>
                <c:pt idx="0">
                  <c:v>Taiwan</c:v>
                </c:pt>
              </c:strCache>
            </c:strRef>
          </c:tx>
          <c:spPr>
            <a:ln w="38100" cap="rnd">
              <a:solidFill>
                <a:schemeClr val="accent3">
                  <a:lumMod val="50000"/>
                </a:schemeClr>
              </a:solidFill>
              <a:round/>
            </a:ln>
            <a:effectLst/>
          </c:spPr>
          <c:marker>
            <c:symbol val="circle"/>
            <c:size val="8"/>
            <c:spPr>
              <a:solidFill>
                <a:schemeClr val="accent3">
                  <a:lumMod val="50000"/>
                </a:schemeClr>
              </a:solidFill>
              <a:ln>
                <a:noFill/>
              </a:ln>
              <a:effectLst/>
            </c:spPr>
          </c:marker>
          <c:cat>
            <c:strRef>
              <c:f>Sheet12!$DX$20:$DX$21</c:f>
              <c:strCache>
                <c:ptCount val="1"/>
                <c:pt idx="0">
                  <c:v>15/08/24</c:v>
                </c:pt>
              </c:strCache>
            </c:strRef>
          </c:cat>
          <c:val>
            <c:numRef>
              <c:f>Sheet12!$FE$20:$FE$21</c:f>
              <c:numCache>
                <c:formatCode>General</c:formatCode>
                <c:ptCount val="1"/>
                <c:pt idx="0">
                  <c:v>89.7</c:v>
                </c:pt>
              </c:numCache>
            </c:numRef>
          </c:val>
          <c:smooth val="0"/>
          <c:extLst>
            <c:ext xmlns:c16="http://schemas.microsoft.com/office/drawing/2014/chart" uri="{C3380CC4-5D6E-409C-BE32-E72D297353CC}">
              <c16:uniqueId val="{00000047-A278-1247-B461-5E104F2C123D}"/>
            </c:ext>
          </c:extLst>
        </c:ser>
        <c:ser>
          <c:idx val="33"/>
          <c:order val="33"/>
          <c:tx>
            <c:strRef>
              <c:f>Sheet12!$FF$18:$FF$19</c:f>
              <c:strCache>
                <c:ptCount val="1"/>
                <c:pt idx="0">
                  <c:v>Thailand</c:v>
                </c:pt>
              </c:strCache>
            </c:strRef>
          </c:tx>
          <c:spPr>
            <a:ln w="38100" cap="rnd">
              <a:solidFill>
                <a:schemeClr val="accent4">
                  <a:lumMod val="50000"/>
                </a:schemeClr>
              </a:solidFill>
              <a:round/>
            </a:ln>
            <a:effectLst/>
          </c:spPr>
          <c:marker>
            <c:symbol val="circle"/>
            <c:size val="8"/>
            <c:spPr>
              <a:solidFill>
                <a:schemeClr val="accent4">
                  <a:lumMod val="50000"/>
                </a:schemeClr>
              </a:solidFill>
              <a:ln>
                <a:noFill/>
              </a:ln>
              <a:effectLst/>
            </c:spPr>
          </c:marker>
          <c:cat>
            <c:strRef>
              <c:f>Sheet12!$DX$20:$DX$21</c:f>
              <c:strCache>
                <c:ptCount val="1"/>
                <c:pt idx="0">
                  <c:v>15/08/24</c:v>
                </c:pt>
              </c:strCache>
            </c:strRef>
          </c:cat>
          <c:val>
            <c:numRef>
              <c:f>Sheet12!$FF$20:$FF$21</c:f>
              <c:numCache>
                <c:formatCode>General</c:formatCode>
                <c:ptCount val="1"/>
                <c:pt idx="0">
                  <c:v>12.8</c:v>
                </c:pt>
              </c:numCache>
            </c:numRef>
          </c:val>
          <c:smooth val="0"/>
          <c:extLst>
            <c:ext xmlns:c16="http://schemas.microsoft.com/office/drawing/2014/chart" uri="{C3380CC4-5D6E-409C-BE32-E72D297353CC}">
              <c16:uniqueId val="{00000048-A278-1247-B461-5E104F2C123D}"/>
            </c:ext>
          </c:extLst>
        </c:ser>
        <c:ser>
          <c:idx val="34"/>
          <c:order val="34"/>
          <c:tx>
            <c:strRef>
              <c:f>Sheet12!$FG$18:$FG$19</c:f>
              <c:strCache>
                <c:ptCount val="1"/>
                <c:pt idx="0">
                  <c:v>Turkey</c:v>
                </c:pt>
              </c:strCache>
            </c:strRef>
          </c:tx>
          <c:spPr>
            <a:ln w="38100" cap="rnd">
              <a:solidFill>
                <a:schemeClr val="accent5">
                  <a:lumMod val="50000"/>
                </a:schemeClr>
              </a:solidFill>
              <a:round/>
            </a:ln>
            <a:effectLst/>
          </c:spPr>
          <c:marker>
            <c:symbol val="circle"/>
            <c:size val="8"/>
            <c:spPr>
              <a:solidFill>
                <a:schemeClr val="accent5">
                  <a:lumMod val="50000"/>
                </a:schemeClr>
              </a:solidFill>
              <a:ln>
                <a:noFill/>
              </a:ln>
              <a:effectLst/>
            </c:spPr>
          </c:marker>
          <c:cat>
            <c:strRef>
              <c:f>Sheet12!$DX$20:$DX$21</c:f>
              <c:strCache>
                <c:ptCount val="1"/>
                <c:pt idx="0">
                  <c:v>15/08/24</c:v>
                </c:pt>
              </c:strCache>
            </c:strRef>
          </c:cat>
          <c:val>
            <c:numRef>
              <c:f>Sheet12!$FG$20:$FG$21</c:f>
              <c:numCache>
                <c:formatCode>General</c:formatCode>
                <c:ptCount val="1"/>
                <c:pt idx="0">
                  <c:v>-45.6</c:v>
                </c:pt>
              </c:numCache>
            </c:numRef>
          </c:val>
          <c:smooth val="0"/>
          <c:extLst>
            <c:ext xmlns:c16="http://schemas.microsoft.com/office/drawing/2014/chart" uri="{C3380CC4-5D6E-409C-BE32-E72D297353CC}">
              <c16:uniqueId val="{00000049-A278-1247-B461-5E104F2C123D}"/>
            </c:ext>
          </c:extLst>
        </c:ser>
        <c:ser>
          <c:idx val="35"/>
          <c:order val="35"/>
          <c:tx>
            <c:strRef>
              <c:f>Sheet12!$FH$18:$FH$19</c:f>
              <c:strCache>
                <c:ptCount val="1"/>
                <c:pt idx="0">
                  <c:v>UAE</c:v>
                </c:pt>
              </c:strCache>
            </c:strRef>
          </c:tx>
          <c:spPr>
            <a:ln w="38100" cap="rnd">
              <a:solidFill>
                <a:schemeClr val="accent6">
                  <a:lumMod val="50000"/>
                </a:schemeClr>
              </a:solidFill>
              <a:round/>
            </a:ln>
            <a:effectLst/>
          </c:spPr>
          <c:marker>
            <c:symbol val="circle"/>
            <c:size val="8"/>
            <c:spPr>
              <a:solidFill>
                <a:schemeClr val="accent6">
                  <a:lumMod val="50000"/>
                </a:schemeClr>
              </a:solidFill>
              <a:ln>
                <a:noFill/>
              </a:ln>
              <a:effectLst/>
            </c:spPr>
          </c:marker>
          <c:cat>
            <c:strRef>
              <c:f>Sheet12!$DX$20:$DX$21</c:f>
              <c:strCache>
                <c:ptCount val="1"/>
                <c:pt idx="0">
                  <c:v>15/08/24</c:v>
                </c:pt>
              </c:strCache>
            </c:strRef>
          </c:cat>
          <c:val>
            <c:numRef>
              <c:f>Sheet12!$FH$20:$FH$21</c:f>
              <c:numCache>
                <c:formatCode>General</c:formatCode>
                <c:ptCount val="1"/>
                <c:pt idx="0">
                  <c:v>67.8</c:v>
                </c:pt>
              </c:numCache>
            </c:numRef>
          </c:val>
          <c:smooth val="0"/>
          <c:extLst>
            <c:ext xmlns:c16="http://schemas.microsoft.com/office/drawing/2014/chart" uri="{C3380CC4-5D6E-409C-BE32-E72D297353CC}">
              <c16:uniqueId val="{0000004A-A278-1247-B461-5E104F2C123D}"/>
            </c:ext>
          </c:extLst>
        </c:ser>
        <c:ser>
          <c:idx val="36"/>
          <c:order val="36"/>
          <c:tx>
            <c:strRef>
              <c:f>Sheet12!$FI$18:$FI$19</c:f>
              <c:strCache>
                <c:ptCount val="1"/>
                <c:pt idx="0">
                  <c:v>United Kingdom</c:v>
                </c:pt>
              </c:strCache>
            </c:strRef>
          </c:tx>
          <c:spPr>
            <a:ln w="38100" cap="rnd">
              <a:solidFill>
                <a:schemeClr val="accent1">
                  <a:lumMod val="70000"/>
                  <a:lumOff val="30000"/>
                </a:schemeClr>
              </a:solidFill>
              <a:round/>
            </a:ln>
            <a:effectLst/>
          </c:spPr>
          <c:marker>
            <c:symbol val="circle"/>
            <c:size val="8"/>
            <c:spPr>
              <a:solidFill>
                <a:schemeClr val="accent1">
                  <a:lumMod val="70000"/>
                  <a:lumOff val="30000"/>
                </a:schemeClr>
              </a:solidFill>
              <a:ln>
                <a:noFill/>
              </a:ln>
              <a:effectLst/>
            </c:spPr>
          </c:marker>
          <c:cat>
            <c:strRef>
              <c:f>Sheet12!$DX$20:$DX$21</c:f>
              <c:strCache>
                <c:ptCount val="1"/>
                <c:pt idx="0">
                  <c:v>15/08/24</c:v>
                </c:pt>
              </c:strCache>
            </c:strRef>
          </c:cat>
          <c:val>
            <c:numRef>
              <c:f>Sheet12!$FI$20:$FI$21</c:f>
              <c:numCache>
                <c:formatCode>General</c:formatCode>
                <c:ptCount val="1"/>
                <c:pt idx="0">
                  <c:v>-85.6</c:v>
                </c:pt>
              </c:numCache>
            </c:numRef>
          </c:val>
          <c:smooth val="0"/>
          <c:extLst>
            <c:ext xmlns:c16="http://schemas.microsoft.com/office/drawing/2014/chart" uri="{C3380CC4-5D6E-409C-BE32-E72D297353CC}">
              <c16:uniqueId val="{0000004B-A278-1247-B461-5E104F2C123D}"/>
            </c:ext>
          </c:extLst>
        </c:ser>
        <c:ser>
          <c:idx val="37"/>
          <c:order val="37"/>
          <c:tx>
            <c:strRef>
              <c:f>Sheet12!$FJ$18:$FJ$19</c:f>
              <c:strCache>
                <c:ptCount val="1"/>
                <c:pt idx="0">
                  <c:v>United States</c:v>
                </c:pt>
              </c:strCache>
            </c:strRef>
          </c:tx>
          <c:spPr>
            <a:ln w="38100" cap="rnd">
              <a:solidFill>
                <a:schemeClr val="accent2">
                  <a:lumMod val="70000"/>
                  <a:lumOff val="30000"/>
                </a:schemeClr>
              </a:solidFill>
              <a:round/>
            </a:ln>
            <a:effectLst/>
          </c:spPr>
          <c:marker>
            <c:symbol val="circle"/>
            <c:size val="8"/>
            <c:spPr>
              <a:solidFill>
                <a:schemeClr val="accent2">
                  <a:lumMod val="70000"/>
                  <a:lumOff val="30000"/>
                </a:schemeClr>
              </a:solidFill>
              <a:ln>
                <a:noFill/>
              </a:ln>
              <a:effectLst/>
            </c:spPr>
          </c:marker>
          <c:cat>
            <c:strRef>
              <c:f>Sheet12!$DX$20:$DX$21</c:f>
              <c:strCache>
                <c:ptCount val="1"/>
                <c:pt idx="0">
                  <c:v>15/08/24</c:v>
                </c:pt>
              </c:strCache>
            </c:strRef>
          </c:cat>
          <c:val>
            <c:numRef>
              <c:f>Sheet12!$FJ$20:$FJ$21</c:f>
              <c:numCache>
                <c:formatCode>General</c:formatCode>
                <c:ptCount val="1"/>
                <c:pt idx="0">
                  <c:v>-695.2</c:v>
                </c:pt>
              </c:numCache>
            </c:numRef>
          </c:val>
          <c:smooth val="0"/>
          <c:extLst>
            <c:ext xmlns:c16="http://schemas.microsoft.com/office/drawing/2014/chart" uri="{C3380CC4-5D6E-409C-BE32-E72D297353CC}">
              <c16:uniqueId val="{0000004C-A278-1247-B461-5E104F2C123D}"/>
            </c:ext>
          </c:extLst>
        </c:ser>
        <c:ser>
          <c:idx val="38"/>
          <c:order val="38"/>
          <c:tx>
            <c:strRef>
              <c:f>Sheet12!$FK$18:$FK$19</c:f>
              <c:strCache>
                <c:ptCount val="1"/>
                <c:pt idx="0">
                  <c:v>Vietnam</c:v>
                </c:pt>
              </c:strCache>
            </c:strRef>
          </c:tx>
          <c:spPr>
            <a:ln w="38100" cap="rnd">
              <a:solidFill>
                <a:schemeClr val="accent3">
                  <a:lumMod val="70000"/>
                  <a:lumOff val="30000"/>
                </a:schemeClr>
              </a:solidFill>
              <a:round/>
            </a:ln>
            <a:effectLst/>
          </c:spPr>
          <c:marker>
            <c:symbol val="circle"/>
            <c:size val="8"/>
            <c:spPr>
              <a:solidFill>
                <a:schemeClr val="accent3">
                  <a:lumMod val="70000"/>
                  <a:lumOff val="30000"/>
                </a:schemeClr>
              </a:solidFill>
              <a:ln>
                <a:noFill/>
              </a:ln>
              <a:effectLst/>
            </c:spPr>
          </c:marker>
          <c:cat>
            <c:strRef>
              <c:f>Sheet12!$DX$20:$DX$21</c:f>
              <c:strCache>
                <c:ptCount val="1"/>
                <c:pt idx="0">
                  <c:v>15/08/24</c:v>
                </c:pt>
              </c:strCache>
            </c:strRef>
          </c:cat>
          <c:val>
            <c:numRef>
              <c:f>Sheet12!$FK$20:$FK$21</c:f>
              <c:numCache>
                <c:formatCode>General</c:formatCode>
                <c:ptCount val="1"/>
                <c:pt idx="0">
                  <c:v>12.8</c:v>
                </c:pt>
              </c:numCache>
            </c:numRef>
          </c:val>
          <c:smooth val="0"/>
          <c:extLst>
            <c:ext xmlns:c16="http://schemas.microsoft.com/office/drawing/2014/chart" uri="{C3380CC4-5D6E-409C-BE32-E72D297353CC}">
              <c16:uniqueId val="{0000004D-A278-1247-B461-5E104F2C123D}"/>
            </c:ext>
          </c:extLst>
        </c:ser>
        <c:dLbls>
          <c:showLegendKey val="0"/>
          <c:showVal val="0"/>
          <c:showCatName val="0"/>
          <c:showSerName val="0"/>
          <c:showPercent val="0"/>
          <c:showBubbleSize val="0"/>
        </c:dLbls>
        <c:marker val="1"/>
        <c:smooth val="0"/>
        <c:axId val="216348863"/>
        <c:axId val="170717023"/>
      </c:lineChart>
      <c:catAx>
        <c:axId val="2163488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170717023"/>
        <c:crosses val="autoZero"/>
        <c:auto val="1"/>
        <c:lblAlgn val="ctr"/>
        <c:lblOffset val="100"/>
        <c:noMultiLvlLbl val="0"/>
      </c:catAx>
      <c:valAx>
        <c:axId val="170717023"/>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6348863"/>
        <c:crosses val="autoZero"/>
        <c:crossBetween val="between"/>
      </c:valAx>
      <c:spPr>
        <a:noFill/>
        <a:ln>
          <a:noFill/>
        </a:ln>
        <a:effectLst/>
      </c:spPr>
    </c:plotArea>
    <c:legend>
      <c:legendPos val="r"/>
      <c:layout>
        <c:manualLayout>
          <c:xMode val="edge"/>
          <c:yMode val="edge"/>
          <c:x val="0.85783649692691233"/>
          <c:y val="0.10648277931934519"/>
          <c:w val="0.1359824812003447"/>
          <c:h val="0.8875624015748031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[Saravanan Milestone.xlsx]Sheet12!PivotTable20</c:name>
    <c:fmtId val="29"/>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percentStacked"/>
        <c:varyColors val="0"/>
        <c:ser>
          <c:idx val="0"/>
          <c:order val="0"/>
          <c:tx>
            <c:strRef>
              <c:f>Sheet12!$EZ$52</c:f>
              <c:strCache>
                <c:ptCount val="1"/>
                <c:pt idx="0">
                  <c:v>Sum of Oil_Price_USD_Barrel</c:v>
                </c:pt>
              </c:strCache>
            </c:strRef>
          </c:tx>
          <c:spPr>
            <a:solidFill>
              <a:schemeClr val="accent1"/>
            </a:solidFill>
            <a:ln>
              <a:noFill/>
            </a:ln>
            <a:effectLst/>
            <a:sp3d/>
          </c:spPr>
          <c:invertIfNegative val="0"/>
          <c:cat>
            <c:strRef>
              <c:f>Sheet12!$EY$53:$EY$54</c:f>
              <c:strCache>
                <c:ptCount val="1"/>
                <c:pt idx="0">
                  <c:v>15/08/24</c:v>
                </c:pt>
              </c:strCache>
            </c:strRef>
          </c:cat>
          <c:val>
            <c:numRef>
              <c:f>Sheet12!$EZ$53:$EZ$54</c:f>
              <c:numCache>
                <c:formatCode>General</c:formatCode>
                <c:ptCount val="1"/>
                <c:pt idx="0">
                  <c:v>3036.1499999999978</c:v>
                </c:pt>
              </c:numCache>
            </c:numRef>
          </c:val>
          <c:extLst>
            <c:ext xmlns:c16="http://schemas.microsoft.com/office/drawing/2014/chart" uri="{C3380CC4-5D6E-409C-BE32-E72D297353CC}">
              <c16:uniqueId val="{00000000-856E-E34B-8D47-2E3E6F34C8EE}"/>
            </c:ext>
          </c:extLst>
        </c:ser>
        <c:ser>
          <c:idx val="1"/>
          <c:order val="1"/>
          <c:tx>
            <c:strRef>
              <c:f>Sheet12!$FA$52</c:f>
              <c:strCache>
                <c:ptCount val="1"/>
                <c:pt idx="0">
                  <c:v>Sum of Gold_Price_USD_Ounce</c:v>
                </c:pt>
              </c:strCache>
            </c:strRef>
          </c:tx>
          <c:spPr>
            <a:solidFill>
              <a:schemeClr val="accent2"/>
            </a:solidFill>
            <a:ln>
              <a:noFill/>
            </a:ln>
            <a:effectLst/>
            <a:sp3d/>
          </c:spPr>
          <c:invertIfNegative val="0"/>
          <c:cat>
            <c:strRef>
              <c:f>Sheet12!$EY$53:$EY$54</c:f>
              <c:strCache>
                <c:ptCount val="1"/>
                <c:pt idx="0">
                  <c:v>15/08/24</c:v>
                </c:pt>
              </c:strCache>
            </c:strRef>
          </c:cat>
          <c:val>
            <c:numRef>
              <c:f>Sheet12!$FA$53:$FA$54</c:f>
              <c:numCache>
                <c:formatCode>General</c:formatCode>
                <c:ptCount val="1"/>
                <c:pt idx="0">
                  <c:v>97012.5</c:v>
                </c:pt>
              </c:numCache>
            </c:numRef>
          </c:val>
          <c:extLst>
            <c:ext xmlns:c16="http://schemas.microsoft.com/office/drawing/2014/chart" uri="{C3380CC4-5D6E-409C-BE32-E72D297353CC}">
              <c16:uniqueId val="{00000001-856E-E34B-8D47-2E3E6F34C8EE}"/>
            </c:ext>
          </c:extLst>
        </c:ser>
        <c:dLbls>
          <c:showLegendKey val="0"/>
          <c:showVal val="0"/>
          <c:showCatName val="0"/>
          <c:showSerName val="0"/>
          <c:showPercent val="0"/>
          <c:showBubbleSize val="0"/>
        </c:dLbls>
        <c:gapWidth val="150"/>
        <c:shape val="box"/>
        <c:axId val="171825295"/>
        <c:axId val="227226911"/>
        <c:axId val="0"/>
      </c:bar3DChart>
      <c:catAx>
        <c:axId val="17182529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7226911"/>
        <c:crosses val="autoZero"/>
        <c:auto val="1"/>
        <c:lblAlgn val="ctr"/>
        <c:lblOffset val="100"/>
        <c:noMultiLvlLbl val="0"/>
      </c:catAx>
      <c:valAx>
        <c:axId val="22722691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8252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[Saravanan Milestone.xlsx]Sheet12!PivotTable21</c:name>
    <c:fmtId val="35"/>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6">
              <a:alpha val="85000"/>
            </a:schemeClr>
          </a:solidFill>
          <a:ln w="9525" cap="flat" cmpd="sng" algn="ctr">
            <a:solidFill>
              <a:schemeClr val="accent6">
                <a:lumMod val="75000"/>
              </a:schemeClr>
            </a:solidFill>
            <a:round/>
          </a:ln>
          <a:effectLst/>
          <a:sp3d contourW="9525">
            <a:contourClr>
              <a:schemeClr val="accent6">
                <a:lumMod val="75000"/>
              </a:schemeClr>
            </a:contourClr>
          </a:sp3d>
        </c:spPr>
        <c:marker>
          <c:symbol val="circle"/>
          <c:size val="6"/>
          <c:spPr>
            <a:solidFill>
              <a:schemeClr val="accent6">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Sheet12!$FH$40</c:f>
              <c:strCache>
                <c:ptCount val="1"/>
                <c:pt idx="0">
                  <c:v>Total</c:v>
                </c:pt>
              </c:strCache>
            </c:strRef>
          </c:tx>
          <c:spPr>
            <a:solidFill>
              <a:schemeClr val="accent6">
                <a:alpha val="85000"/>
              </a:schemeClr>
            </a:solidFill>
            <a:ln w="9525" cap="flat" cmpd="sng" algn="ctr">
              <a:solidFill>
                <a:schemeClr val="accent6">
                  <a:lumMod val="75000"/>
                </a:schemeClr>
              </a:solidFill>
              <a:round/>
            </a:ln>
            <a:effectLst/>
            <a:sp3d contourW="9525">
              <a:contourClr>
                <a:schemeClr val="accent6">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Sheet12!$FG$41:$FG$55</c:f>
              <c:strCache>
                <c:ptCount val="14"/>
                <c:pt idx="0">
                  <c:v>A</c:v>
                </c:pt>
                <c:pt idx="1">
                  <c:v>A-</c:v>
                </c:pt>
                <c:pt idx="2">
                  <c:v>A+</c:v>
                </c:pt>
                <c:pt idx="3">
                  <c:v>AA</c:v>
                </c:pt>
                <c:pt idx="4">
                  <c:v>AA+</c:v>
                </c:pt>
                <c:pt idx="5">
                  <c:v>AAA</c:v>
                </c:pt>
                <c:pt idx="6">
                  <c:v>B-</c:v>
                </c:pt>
                <c:pt idx="7">
                  <c:v>B+</c:v>
                </c:pt>
                <c:pt idx="8">
                  <c:v>BB-</c:v>
                </c:pt>
                <c:pt idx="9">
                  <c:v>BB+</c:v>
                </c:pt>
                <c:pt idx="10">
                  <c:v>BBB</c:v>
                </c:pt>
                <c:pt idx="11">
                  <c:v>BBB-</c:v>
                </c:pt>
                <c:pt idx="12">
                  <c:v>BBB+</c:v>
                </c:pt>
                <c:pt idx="13">
                  <c:v>CCC+</c:v>
                </c:pt>
              </c:strCache>
            </c:strRef>
          </c:cat>
          <c:val>
            <c:numRef>
              <c:f>Sheet12!$FH$41:$FH$55</c:f>
              <c:numCache>
                <c:formatCode>General</c:formatCode>
                <c:ptCount val="14"/>
                <c:pt idx="0">
                  <c:v>2</c:v>
                </c:pt>
                <c:pt idx="1">
                  <c:v>2</c:v>
                </c:pt>
                <c:pt idx="2">
                  <c:v>3</c:v>
                </c:pt>
                <c:pt idx="3">
                  <c:v>5</c:v>
                </c:pt>
                <c:pt idx="4">
                  <c:v>1</c:v>
                </c:pt>
                <c:pt idx="5">
                  <c:v>10</c:v>
                </c:pt>
                <c:pt idx="6">
                  <c:v>1</c:v>
                </c:pt>
                <c:pt idx="7">
                  <c:v>2</c:v>
                </c:pt>
                <c:pt idx="8">
                  <c:v>2</c:v>
                </c:pt>
                <c:pt idx="9">
                  <c:v>3</c:v>
                </c:pt>
                <c:pt idx="10">
                  <c:v>3</c:v>
                </c:pt>
                <c:pt idx="11">
                  <c:v>1</c:v>
                </c:pt>
                <c:pt idx="12">
                  <c:v>3</c:v>
                </c:pt>
                <c:pt idx="13">
                  <c:v>1</c:v>
                </c:pt>
              </c:numCache>
            </c:numRef>
          </c:val>
          <c:extLst>
            <c:ext xmlns:c16="http://schemas.microsoft.com/office/drawing/2014/chart" uri="{C3380CC4-5D6E-409C-BE32-E72D297353CC}">
              <c16:uniqueId val="{00000000-52A8-4F4F-9E57-179B8C5A11D2}"/>
            </c:ext>
          </c:extLst>
        </c:ser>
        <c:dLbls>
          <c:showLegendKey val="0"/>
          <c:showVal val="1"/>
          <c:showCatName val="0"/>
          <c:showSerName val="0"/>
          <c:showPercent val="0"/>
          <c:showBubbleSize val="0"/>
        </c:dLbls>
        <c:gapWidth val="65"/>
        <c:shape val="box"/>
        <c:axId val="174964079"/>
        <c:axId val="247610879"/>
        <c:axId val="243444687"/>
      </c:bar3DChart>
      <c:catAx>
        <c:axId val="174964079"/>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47610879"/>
        <c:crosses val="autoZero"/>
        <c:auto val="1"/>
        <c:lblAlgn val="ctr"/>
        <c:lblOffset val="100"/>
        <c:noMultiLvlLbl val="0"/>
      </c:catAx>
      <c:valAx>
        <c:axId val="247610879"/>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74964079"/>
        <c:crosses val="autoZero"/>
        <c:crossBetween val="between"/>
      </c:valAx>
      <c:serAx>
        <c:axId val="243444687"/>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247610879"/>
        <c:crosses val="autoZero"/>
      </c:ser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7"/>
    </mc:Choice>
    <mc:Fallback>
      <c:style val="7"/>
    </mc:Fallback>
  </mc:AlternateContent>
  <c:pivotSource>
    <c:name>[Saravanan Milestone.xlsx]Sheet12!PivotTable22</c:name>
    <c:fmtId val="38"/>
  </c:pivotSource>
  <c:chart>
    <c:autoTitleDeleted val="0"/>
    <c:pivotFmts>
      <c:pivotFmt>
        <c:idx val="0"/>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Sheet12!$GD$29</c:f>
              <c:strCache>
                <c:ptCount val="1"/>
                <c:pt idx="0">
                  <c:v>Count of Country</c:v>
                </c:pt>
              </c:strCache>
            </c:strRef>
          </c:tx>
          <c:spPr>
            <a:solidFill>
              <a:schemeClr val="accent5">
                <a:tint val="77000"/>
              </a:schemeClr>
            </a:solidFill>
            <a:ln>
              <a:noFill/>
            </a:ln>
            <a:effectLst/>
            <a:sp3d/>
          </c:spPr>
          <c:invertIfNegative val="0"/>
          <c:cat>
            <c:strRef>
              <c:f>Sheet12!$GD$30</c:f>
              <c:strCache>
                <c:ptCount val="1"/>
                <c:pt idx="0">
                  <c:v>Total</c:v>
                </c:pt>
              </c:strCache>
            </c:strRef>
          </c:cat>
          <c:val>
            <c:numRef>
              <c:f>Sheet12!$GD$30</c:f>
              <c:numCache>
                <c:formatCode>General</c:formatCode>
                <c:ptCount val="1"/>
                <c:pt idx="0">
                  <c:v>39</c:v>
                </c:pt>
              </c:numCache>
            </c:numRef>
          </c:val>
          <c:extLst>
            <c:ext xmlns:c16="http://schemas.microsoft.com/office/drawing/2014/chart" uri="{C3380CC4-5D6E-409C-BE32-E72D297353CC}">
              <c16:uniqueId val="{00000000-91BC-9F42-9CF8-09E4F299F031}"/>
            </c:ext>
          </c:extLst>
        </c:ser>
        <c:ser>
          <c:idx val="1"/>
          <c:order val="1"/>
          <c:tx>
            <c:strRef>
              <c:f>Sheet12!$GE$29</c:f>
              <c:strCache>
                <c:ptCount val="1"/>
                <c:pt idx="0">
                  <c:v>Sum of Political_Risk_Score</c:v>
                </c:pt>
              </c:strCache>
            </c:strRef>
          </c:tx>
          <c:spPr>
            <a:solidFill>
              <a:schemeClr val="accent5">
                <a:shade val="76000"/>
              </a:schemeClr>
            </a:solidFill>
            <a:ln>
              <a:noFill/>
            </a:ln>
            <a:effectLst/>
            <a:sp3d/>
          </c:spPr>
          <c:invertIfNegative val="0"/>
          <c:cat>
            <c:strRef>
              <c:f>Sheet12!$GD$30</c:f>
              <c:strCache>
                <c:ptCount val="1"/>
                <c:pt idx="0">
                  <c:v>Total</c:v>
                </c:pt>
              </c:strCache>
            </c:strRef>
          </c:cat>
          <c:val>
            <c:numRef>
              <c:f>Sheet12!$GE$30</c:f>
              <c:numCache>
                <c:formatCode>General</c:formatCode>
                <c:ptCount val="1"/>
                <c:pt idx="0">
                  <c:v>274.39999999999998</c:v>
                </c:pt>
              </c:numCache>
            </c:numRef>
          </c:val>
          <c:extLst>
            <c:ext xmlns:c16="http://schemas.microsoft.com/office/drawing/2014/chart" uri="{C3380CC4-5D6E-409C-BE32-E72D297353CC}">
              <c16:uniqueId val="{00000001-91BC-9F42-9CF8-09E4F299F031}"/>
            </c:ext>
          </c:extLst>
        </c:ser>
        <c:dLbls>
          <c:showLegendKey val="0"/>
          <c:showVal val="0"/>
          <c:showCatName val="0"/>
          <c:showSerName val="0"/>
          <c:showPercent val="0"/>
          <c:showBubbleSize val="0"/>
        </c:dLbls>
        <c:gapWidth val="150"/>
        <c:shape val="box"/>
        <c:axId val="211871327"/>
        <c:axId val="227529551"/>
        <c:axId val="0"/>
      </c:bar3DChart>
      <c:catAx>
        <c:axId val="2118713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7529551"/>
        <c:crosses val="autoZero"/>
        <c:auto val="1"/>
        <c:lblAlgn val="ctr"/>
        <c:lblOffset val="100"/>
        <c:noMultiLvlLbl val="0"/>
      </c:catAx>
      <c:valAx>
        <c:axId val="22752955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8713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[Saravanan Milestone.xlsx]Sheet12!PivotTable23</c:name>
    <c:fmtId val="41"/>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s>
    <c:plotArea>
      <c:layout/>
      <c:ofPieChart>
        <c:ofPieType val="bar"/>
        <c:varyColors val="1"/>
        <c:ser>
          <c:idx val="0"/>
          <c:order val="0"/>
          <c:tx>
            <c:strRef>
              <c:f>Sheet12!$GL$28:$GL$29</c:f>
              <c:strCache>
                <c:ptCount val="1"/>
                <c:pt idx="0">
                  <c:v>Strong</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c:spPr>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c:spPr>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c:spPr>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c:spPr>
          </c:dPt>
          <c:dPt>
            <c:idx val="10"/>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c:spPr>
          </c:dPt>
          <c:dPt>
            <c:idx val="11"/>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c:spPr>
          </c:dPt>
          <c:dPt>
            <c:idx val="12"/>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c:spPr>
          </c:dPt>
          <c:dPt>
            <c:idx val="13"/>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c:spPr>
          </c:dPt>
          <c:dPt>
            <c:idx val="14"/>
            <c:bubble3D val="0"/>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Sheet12!$GK$30:$GK$44</c:f>
              <c:strCache>
                <c:ptCount val="14"/>
                <c:pt idx="0">
                  <c:v>Australia</c:v>
                </c:pt>
                <c:pt idx="1">
                  <c:v>Canada</c:v>
                </c:pt>
                <c:pt idx="2">
                  <c:v>Denmark</c:v>
                </c:pt>
                <c:pt idx="3">
                  <c:v>Germany</c:v>
                </c:pt>
                <c:pt idx="4">
                  <c:v>Japan</c:v>
                </c:pt>
                <c:pt idx="5">
                  <c:v>Netherlands</c:v>
                </c:pt>
                <c:pt idx="6">
                  <c:v>Norway</c:v>
                </c:pt>
                <c:pt idx="7">
                  <c:v>Singapore</c:v>
                </c:pt>
                <c:pt idx="8">
                  <c:v>South Korea</c:v>
                </c:pt>
                <c:pt idx="9">
                  <c:v>Sweden</c:v>
                </c:pt>
                <c:pt idx="10">
                  <c:v>Switzerland</c:v>
                </c:pt>
                <c:pt idx="11">
                  <c:v>Taiwan</c:v>
                </c:pt>
                <c:pt idx="12">
                  <c:v>UAE</c:v>
                </c:pt>
                <c:pt idx="13">
                  <c:v>United States</c:v>
                </c:pt>
              </c:strCache>
            </c:strRef>
          </c:cat>
          <c:val>
            <c:numRef>
              <c:f>Sheet12!$GL$30:$GL$44</c:f>
              <c:numCache>
                <c:formatCode>General</c:formatCode>
                <c:ptCount val="14"/>
                <c:pt idx="0">
                  <c:v>1</c:v>
                </c:pt>
                <c:pt idx="1">
                  <c:v>1</c:v>
                </c:pt>
                <c:pt idx="2">
                  <c:v>1</c:v>
                </c:pt>
                <c:pt idx="3">
                  <c:v>1</c:v>
                </c:pt>
                <c:pt idx="4">
                  <c:v>1</c:v>
                </c:pt>
                <c:pt idx="5">
                  <c:v>1</c:v>
                </c:pt>
                <c:pt idx="6">
                  <c:v>1</c:v>
                </c:pt>
                <c:pt idx="7">
                  <c:v>1</c:v>
                </c:pt>
                <c:pt idx="8">
                  <c:v>1</c:v>
                </c:pt>
                <c:pt idx="9">
                  <c:v>1</c:v>
                </c:pt>
                <c:pt idx="10">
                  <c:v>1</c:v>
                </c:pt>
                <c:pt idx="11">
                  <c:v>1</c:v>
                </c:pt>
                <c:pt idx="12">
                  <c:v>1</c:v>
                </c:pt>
                <c:pt idx="13">
                  <c:v>1</c:v>
                </c:pt>
              </c:numCache>
            </c:numRef>
          </c:val>
          <c:extLst>
            <c:ext xmlns:c16="http://schemas.microsoft.com/office/drawing/2014/chart" uri="{C3380CC4-5D6E-409C-BE32-E72D297353CC}">
              <c16:uniqueId val="{00000000-33E5-5546-BFF8-CBF6F28DFC39}"/>
            </c:ext>
          </c:extLst>
        </c:ser>
        <c:dLbls>
          <c:dLblPos val="inEnd"/>
          <c:showLegendKey val="0"/>
          <c:showVal val="0"/>
          <c:showCatName val="0"/>
          <c:showSerName val="0"/>
          <c:showPercent val="1"/>
          <c:showBubbleSize val="0"/>
          <c:showLeaderLines val="1"/>
        </c:dLbls>
        <c:gapWidth val="100"/>
        <c:secondPieSize val="75"/>
        <c:serLines>
          <c:spPr>
            <a:ln w="9525">
              <a:solidFill>
                <a:schemeClr val="tx2">
                  <a:lumMod val="60000"/>
                  <a:lumOff val="40000"/>
                </a:schemeClr>
              </a:solidFill>
              <a:prstDash val="dash"/>
            </a:ln>
            <a:effectLst/>
          </c:spPr>
        </c:serLines>
      </c:of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2">
  <a:schemeClr val="accent2"/>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withinLinearReversed" id="25">
  <a:schemeClr val="accent5"/>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withinLinearReversed" id="22">
  <a:schemeClr val="accent2"/>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withinLinearReversed" id="25">
  <a:schemeClr val="accent5"/>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311">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0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3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36">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311">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30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3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336">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3.xml"/><Relationship Id="rId13" Type="http://schemas.openxmlformats.org/officeDocument/2006/relationships/chart" Target="../charts/chart8.xml"/><Relationship Id="rId3" Type="http://schemas.openxmlformats.org/officeDocument/2006/relationships/image" Target="../media/image3.emf"/><Relationship Id="rId7" Type="http://schemas.openxmlformats.org/officeDocument/2006/relationships/chart" Target="../charts/chart2.xml"/><Relationship Id="rId12" Type="http://schemas.openxmlformats.org/officeDocument/2006/relationships/chart" Target="../charts/chart7.xml"/><Relationship Id="rId17" Type="http://schemas.openxmlformats.org/officeDocument/2006/relationships/chart" Target="../charts/chart12.xml"/><Relationship Id="rId2" Type="http://schemas.openxmlformats.org/officeDocument/2006/relationships/image" Target="../media/image2.emf"/><Relationship Id="rId16" Type="http://schemas.openxmlformats.org/officeDocument/2006/relationships/chart" Target="../charts/chart11.xml"/><Relationship Id="rId1" Type="http://schemas.openxmlformats.org/officeDocument/2006/relationships/image" Target="../media/image1.emf"/><Relationship Id="rId6" Type="http://schemas.openxmlformats.org/officeDocument/2006/relationships/chart" Target="../charts/chart1.xml"/><Relationship Id="rId11" Type="http://schemas.openxmlformats.org/officeDocument/2006/relationships/chart" Target="../charts/chart6.xml"/><Relationship Id="rId5" Type="http://schemas.openxmlformats.org/officeDocument/2006/relationships/image" Target="../media/image5.emf"/><Relationship Id="rId15" Type="http://schemas.openxmlformats.org/officeDocument/2006/relationships/chart" Target="../charts/chart10.xml"/><Relationship Id="rId10" Type="http://schemas.openxmlformats.org/officeDocument/2006/relationships/chart" Target="../charts/chart5.xml"/><Relationship Id="rId4" Type="http://schemas.openxmlformats.org/officeDocument/2006/relationships/image" Target="../media/image4.emf"/><Relationship Id="rId9" Type="http://schemas.openxmlformats.org/officeDocument/2006/relationships/chart" Target="../charts/chart4.xml"/><Relationship Id="rId14" Type="http://schemas.openxmlformats.org/officeDocument/2006/relationships/chart" Target="../charts/chart9.xml"/></Relationships>
</file>

<file path=xl/drawings/_rels/drawing2.xml.rels><?xml version="1.0" encoding="UTF-8" standalone="yes"?>
<Relationships xmlns="http://schemas.openxmlformats.org/package/2006/relationships"><Relationship Id="rId8" Type="http://schemas.openxmlformats.org/officeDocument/2006/relationships/chart" Target="../charts/chart20.xml"/><Relationship Id="rId3" Type="http://schemas.openxmlformats.org/officeDocument/2006/relationships/chart" Target="../charts/chart15.xml"/><Relationship Id="rId7" Type="http://schemas.openxmlformats.org/officeDocument/2006/relationships/chart" Target="../charts/chart19.xml"/><Relationship Id="rId12" Type="http://schemas.openxmlformats.org/officeDocument/2006/relationships/chart" Target="../charts/chart24.xml"/><Relationship Id="rId2" Type="http://schemas.openxmlformats.org/officeDocument/2006/relationships/chart" Target="../charts/chart14.xml"/><Relationship Id="rId1" Type="http://schemas.openxmlformats.org/officeDocument/2006/relationships/chart" Target="../charts/chart13.xml"/><Relationship Id="rId6" Type="http://schemas.openxmlformats.org/officeDocument/2006/relationships/chart" Target="../charts/chart18.xml"/><Relationship Id="rId11" Type="http://schemas.openxmlformats.org/officeDocument/2006/relationships/chart" Target="../charts/chart23.xml"/><Relationship Id="rId5" Type="http://schemas.openxmlformats.org/officeDocument/2006/relationships/chart" Target="../charts/chart17.xml"/><Relationship Id="rId10" Type="http://schemas.openxmlformats.org/officeDocument/2006/relationships/chart" Target="../charts/chart22.xml"/><Relationship Id="rId4" Type="http://schemas.openxmlformats.org/officeDocument/2006/relationships/chart" Target="../charts/chart16.xml"/><Relationship Id="rId9" Type="http://schemas.openxmlformats.org/officeDocument/2006/relationships/chart" Target="../charts/chart21.xml"/></Relationships>
</file>

<file path=xl/drawings/drawing1.xml><?xml version="1.0" encoding="utf-8"?>
<xdr:wsDr xmlns:xdr="http://schemas.openxmlformats.org/drawingml/2006/spreadsheetDrawing" xmlns:a="http://schemas.openxmlformats.org/drawingml/2006/main">
  <xdr:twoCellAnchor>
    <xdr:from>
      <xdr:col>0</xdr:col>
      <xdr:colOff>657679</xdr:colOff>
      <xdr:row>1</xdr:row>
      <xdr:rowOff>68035</xdr:rowOff>
    </xdr:from>
    <xdr:to>
      <xdr:col>35</xdr:col>
      <xdr:colOff>162820</xdr:colOff>
      <xdr:row>82</xdr:row>
      <xdr:rowOff>39687</xdr:rowOff>
    </xdr:to>
    <xdr:sp macro="" textlink="">
      <xdr:nvSpPr>
        <xdr:cNvPr id="2" name="Rectangle 1">
          <a:extLst>
            <a:ext uri="{FF2B5EF4-FFF2-40B4-BE49-F238E27FC236}">
              <a16:creationId xmlns:a16="http://schemas.microsoft.com/office/drawing/2014/main" id="{839964C1-DC1E-FC96-23DD-D43C8126B744}"/>
            </a:ext>
          </a:extLst>
        </xdr:cNvPr>
        <xdr:cNvSpPr/>
      </xdr:nvSpPr>
      <xdr:spPr>
        <a:xfrm>
          <a:off x="657679" y="263420"/>
          <a:ext cx="27998731" cy="15797805"/>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0</xdr:col>
      <xdr:colOff>674003</xdr:colOff>
      <xdr:row>1</xdr:row>
      <xdr:rowOff>79375</xdr:rowOff>
    </xdr:from>
    <xdr:to>
      <xdr:col>6</xdr:col>
      <xdr:colOff>619511</xdr:colOff>
      <xdr:row>82</xdr:row>
      <xdr:rowOff>26458</xdr:rowOff>
    </xdr:to>
    <xdr:sp macro="" textlink="">
      <xdr:nvSpPr>
        <xdr:cNvPr id="3" name="Rectangle 2">
          <a:extLst>
            <a:ext uri="{FF2B5EF4-FFF2-40B4-BE49-F238E27FC236}">
              <a16:creationId xmlns:a16="http://schemas.microsoft.com/office/drawing/2014/main" id="{BCDBA614-3FCA-514B-BE8C-A37AC4D4DBBC}"/>
            </a:ext>
          </a:extLst>
        </xdr:cNvPr>
        <xdr:cNvSpPr/>
      </xdr:nvSpPr>
      <xdr:spPr>
        <a:xfrm>
          <a:off x="674003" y="296204"/>
          <a:ext cx="4963557" cy="17510254"/>
        </a:xfrm>
        <a:prstGeom prst="rect">
          <a:avLst/>
        </a:prstGeom>
        <a:solidFill>
          <a:schemeClr val="accent5">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xdr:col>
      <xdr:colOff>222250</xdr:colOff>
      <xdr:row>2</xdr:row>
      <xdr:rowOff>168462</xdr:rowOff>
    </xdr:from>
    <xdr:to>
      <xdr:col>6</xdr:col>
      <xdr:colOff>158750</xdr:colOff>
      <xdr:row>16</xdr:row>
      <xdr:rowOff>69850</xdr:rowOff>
    </xdr:to>
    <xdr:sp macro="" textlink="">
      <xdr:nvSpPr>
        <xdr:cNvPr id="5" name="Rounded Rectangle 4">
          <a:extLst>
            <a:ext uri="{FF2B5EF4-FFF2-40B4-BE49-F238E27FC236}">
              <a16:creationId xmlns:a16="http://schemas.microsoft.com/office/drawing/2014/main" id="{EB0C01E3-4E20-5AC6-00D7-8F268F99DABE}"/>
            </a:ext>
          </a:extLst>
        </xdr:cNvPr>
        <xdr:cNvSpPr/>
      </xdr:nvSpPr>
      <xdr:spPr>
        <a:xfrm>
          <a:off x="1047750" y="549462"/>
          <a:ext cx="4064000" cy="2568388"/>
        </a:xfrm>
        <a:prstGeom prst="roundRect">
          <a:avLst/>
        </a:prstGeom>
        <a:solidFill>
          <a:schemeClr val="bg1"/>
        </a:solidFill>
        <a:ln>
          <a:noFill/>
        </a:ln>
        <a:effectLst>
          <a:glow rad="63500">
            <a:schemeClr val="accent3">
              <a:satMod val="175000"/>
              <a:alpha val="40000"/>
            </a:schemeClr>
          </a:glow>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xdr:col>
      <xdr:colOff>222250</xdr:colOff>
      <xdr:row>18</xdr:row>
      <xdr:rowOff>104962</xdr:rowOff>
    </xdr:from>
    <xdr:to>
      <xdr:col>6</xdr:col>
      <xdr:colOff>158750</xdr:colOff>
      <xdr:row>32</xdr:row>
      <xdr:rowOff>6350</xdr:rowOff>
    </xdr:to>
    <xdr:sp macro="" textlink="">
      <xdr:nvSpPr>
        <xdr:cNvPr id="15" name="Rounded Rectangle 14">
          <a:extLst>
            <a:ext uri="{FF2B5EF4-FFF2-40B4-BE49-F238E27FC236}">
              <a16:creationId xmlns:a16="http://schemas.microsoft.com/office/drawing/2014/main" id="{D46B029B-C8C3-227D-101B-89DD9DA6A96D}"/>
            </a:ext>
          </a:extLst>
        </xdr:cNvPr>
        <xdr:cNvSpPr/>
      </xdr:nvSpPr>
      <xdr:spPr>
        <a:xfrm>
          <a:off x="1047750" y="3533962"/>
          <a:ext cx="4064000" cy="2568388"/>
        </a:xfrm>
        <a:prstGeom prst="roundRect">
          <a:avLst/>
        </a:prstGeom>
        <a:solidFill>
          <a:schemeClr val="bg1"/>
        </a:solidFill>
        <a:ln>
          <a:noFill/>
        </a:ln>
        <a:effectLst>
          <a:glow rad="63500">
            <a:schemeClr val="accent3">
              <a:satMod val="175000"/>
              <a:alpha val="40000"/>
            </a:schemeClr>
          </a:glow>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xdr:col>
      <xdr:colOff>254000</xdr:colOff>
      <xdr:row>33</xdr:row>
      <xdr:rowOff>168462</xdr:rowOff>
    </xdr:from>
    <xdr:to>
      <xdr:col>6</xdr:col>
      <xdr:colOff>190500</xdr:colOff>
      <xdr:row>49</xdr:row>
      <xdr:rowOff>95250</xdr:rowOff>
    </xdr:to>
    <xdr:sp macro="" textlink="">
      <xdr:nvSpPr>
        <xdr:cNvPr id="16" name="Rounded Rectangle 15">
          <a:extLst>
            <a:ext uri="{FF2B5EF4-FFF2-40B4-BE49-F238E27FC236}">
              <a16:creationId xmlns:a16="http://schemas.microsoft.com/office/drawing/2014/main" id="{9624B5BB-BCC0-AB45-63C1-5A7AB6837DC7}"/>
            </a:ext>
          </a:extLst>
        </xdr:cNvPr>
        <xdr:cNvSpPr/>
      </xdr:nvSpPr>
      <xdr:spPr>
        <a:xfrm>
          <a:off x="1079500" y="6454962"/>
          <a:ext cx="4064000" cy="2974788"/>
        </a:xfrm>
        <a:prstGeom prst="roundRect">
          <a:avLst/>
        </a:prstGeom>
        <a:solidFill>
          <a:schemeClr val="bg1"/>
        </a:solidFill>
        <a:ln>
          <a:noFill/>
        </a:ln>
        <a:effectLst>
          <a:glow rad="63500">
            <a:schemeClr val="accent3">
              <a:satMod val="175000"/>
              <a:alpha val="40000"/>
            </a:schemeClr>
          </a:glow>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xdr:col>
      <xdr:colOff>285750</xdr:colOff>
      <xdr:row>51</xdr:row>
      <xdr:rowOff>136712</xdr:rowOff>
    </xdr:from>
    <xdr:to>
      <xdr:col>6</xdr:col>
      <xdr:colOff>222250</xdr:colOff>
      <xdr:row>65</xdr:row>
      <xdr:rowOff>38100</xdr:rowOff>
    </xdr:to>
    <xdr:sp macro="" textlink="">
      <xdr:nvSpPr>
        <xdr:cNvPr id="17" name="Rounded Rectangle 16">
          <a:extLst>
            <a:ext uri="{FF2B5EF4-FFF2-40B4-BE49-F238E27FC236}">
              <a16:creationId xmlns:a16="http://schemas.microsoft.com/office/drawing/2014/main" id="{C0645C09-BE4D-C884-CEB5-1A9F63C464B7}"/>
            </a:ext>
          </a:extLst>
        </xdr:cNvPr>
        <xdr:cNvSpPr/>
      </xdr:nvSpPr>
      <xdr:spPr>
        <a:xfrm>
          <a:off x="1111250" y="9852212"/>
          <a:ext cx="4064000" cy="2568388"/>
        </a:xfrm>
        <a:prstGeom prst="roundRect">
          <a:avLst/>
        </a:prstGeom>
        <a:solidFill>
          <a:schemeClr val="bg1"/>
        </a:solidFill>
        <a:ln>
          <a:noFill/>
        </a:ln>
        <a:effectLst>
          <a:glow rad="63500">
            <a:schemeClr val="accent3">
              <a:satMod val="175000"/>
              <a:alpha val="40000"/>
            </a:schemeClr>
          </a:glow>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xdr:col>
      <xdr:colOff>222250</xdr:colOff>
      <xdr:row>66</xdr:row>
      <xdr:rowOff>168462</xdr:rowOff>
    </xdr:from>
    <xdr:to>
      <xdr:col>6</xdr:col>
      <xdr:colOff>158750</xdr:colOff>
      <xdr:row>80</xdr:row>
      <xdr:rowOff>69850</xdr:rowOff>
    </xdr:to>
    <xdr:sp macro="" textlink="">
      <xdr:nvSpPr>
        <xdr:cNvPr id="18" name="Rounded Rectangle 17">
          <a:extLst>
            <a:ext uri="{FF2B5EF4-FFF2-40B4-BE49-F238E27FC236}">
              <a16:creationId xmlns:a16="http://schemas.microsoft.com/office/drawing/2014/main" id="{94C5E959-93AD-9643-3780-74D71D2F8229}"/>
            </a:ext>
          </a:extLst>
        </xdr:cNvPr>
        <xdr:cNvSpPr/>
      </xdr:nvSpPr>
      <xdr:spPr>
        <a:xfrm>
          <a:off x="1047750" y="12741462"/>
          <a:ext cx="4064000" cy="2568388"/>
        </a:xfrm>
        <a:prstGeom prst="roundRect">
          <a:avLst/>
        </a:prstGeom>
        <a:solidFill>
          <a:schemeClr val="bg1"/>
        </a:solidFill>
        <a:ln>
          <a:noFill/>
        </a:ln>
        <a:effectLst>
          <a:glow rad="63500">
            <a:schemeClr val="accent3">
              <a:satMod val="175000"/>
              <a:alpha val="40000"/>
            </a:schemeClr>
          </a:glow>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editAs="oneCell">
    <xdr:from>
      <xdr:col>1</xdr:col>
      <xdr:colOff>804954</xdr:colOff>
      <xdr:row>20</xdr:row>
      <xdr:rowOff>78814</xdr:rowOff>
    </xdr:from>
    <xdr:to>
      <xdr:col>5</xdr:col>
      <xdr:colOff>534234</xdr:colOff>
      <xdr:row>30</xdr:row>
      <xdr:rowOff>18677</xdr:rowOff>
    </xdr:to>
    <xdr:pic>
      <xdr:nvPicPr>
        <xdr:cNvPr id="20" name="Picture 19">
          <a:extLst>
            <a:ext uri="{FF2B5EF4-FFF2-40B4-BE49-F238E27FC236}">
              <a16:creationId xmlns:a16="http://schemas.microsoft.com/office/drawing/2014/main" id="{E9317803-C408-98EE-6D0C-1EE1F693724D}"/>
            </a:ext>
          </a:extLst>
        </xdr:cNvPr>
        <xdr:cNvPicPr>
          <a:picLocks noChangeAspect="1"/>
        </xdr:cNvPicPr>
      </xdr:nvPicPr>
      <xdr:blipFill>
        <a:blip xmlns:r="http://schemas.openxmlformats.org/officeDocument/2006/relationships" r:embed="rId1"/>
        <a:stretch>
          <a:fillRect/>
        </a:stretch>
      </xdr:blipFill>
      <xdr:spPr>
        <a:xfrm>
          <a:off x="1626719" y="4187638"/>
          <a:ext cx="3016339" cy="1994274"/>
        </a:xfrm>
        <a:prstGeom prst="rect">
          <a:avLst/>
        </a:prstGeom>
      </xdr:spPr>
    </xdr:pic>
    <xdr:clientData/>
  </xdr:twoCellAnchor>
  <xdr:twoCellAnchor editAs="oneCell">
    <xdr:from>
      <xdr:col>2</xdr:col>
      <xdr:colOff>39221</xdr:colOff>
      <xdr:row>3</xdr:row>
      <xdr:rowOff>101227</xdr:rowOff>
    </xdr:from>
    <xdr:to>
      <xdr:col>5</xdr:col>
      <xdr:colOff>282925</xdr:colOff>
      <xdr:row>15</xdr:row>
      <xdr:rowOff>93382</xdr:rowOff>
    </xdr:to>
    <xdr:pic>
      <xdr:nvPicPr>
        <xdr:cNvPr id="21" name="Picture 20">
          <a:extLst>
            <a:ext uri="{FF2B5EF4-FFF2-40B4-BE49-F238E27FC236}">
              <a16:creationId xmlns:a16="http://schemas.microsoft.com/office/drawing/2014/main" id="{097ED21D-B731-F9A6-2E36-F8C6D411EC9C}"/>
            </a:ext>
          </a:extLst>
        </xdr:cNvPr>
        <xdr:cNvPicPr>
          <a:picLocks noChangeAspect="1"/>
        </xdr:cNvPicPr>
      </xdr:nvPicPr>
      <xdr:blipFill>
        <a:blip xmlns:r="http://schemas.openxmlformats.org/officeDocument/2006/relationships" r:embed="rId2"/>
        <a:stretch>
          <a:fillRect/>
        </a:stretch>
      </xdr:blipFill>
      <xdr:spPr>
        <a:xfrm>
          <a:off x="1682750" y="717551"/>
          <a:ext cx="2708999" cy="2457449"/>
        </a:xfrm>
        <a:prstGeom prst="rect">
          <a:avLst/>
        </a:prstGeom>
      </xdr:spPr>
    </xdr:pic>
    <xdr:clientData/>
  </xdr:twoCellAnchor>
  <xdr:twoCellAnchor editAs="oneCell">
    <xdr:from>
      <xdr:col>2</xdr:col>
      <xdr:colOff>33615</xdr:colOff>
      <xdr:row>34</xdr:row>
      <xdr:rowOff>123638</xdr:rowOff>
    </xdr:from>
    <xdr:to>
      <xdr:col>5</xdr:col>
      <xdr:colOff>448235</xdr:colOff>
      <xdr:row>48</xdr:row>
      <xdr:rowOff>164064</xdr:rowOff>
    </xdr:to>
    <xdr:pic>
      <xdr:nvPicPr>
        <xdr:cNvPr id="22" name="Picture 21">
          <a:extLst>
            <a:ext uri="{FF2B5EF4-FFF2-40B4-BE49-F238E27FC236}">
              <a16:creationId xmlns:a16="http://schemas.microsoft.com/office/drawing/2014/main" id="{37C5F442-E6A6-6AF5-D204-CBD6B5F2E877}"/>
            </a:ext>
          </a:extLst>
        </xdr:cNvPr>
        <xdr:cNvPicPr>
          <a:picLocks noChangeAspect="1"/>
        </xdr:cNvPicPr>
      </xdr:nvPicPr>
      <xdr:blipFill>
        <a:blip xmlns:r="http://schemas.openxmlformats.org/officeDocument/2006/relationships" r:embed="rId3"/>
        <a:stretch>
          <a:fillRect/>
        </a:stretch>
      </xdr:blipFill>
      <xdr:spPr>
        <a:xfrm>
          <a:off x="1677144" y="7108638"/>
          <a:ext cx="2879915" cy="2916602"/>
        </a:xfrm>
        <a:prstGeom prst="rect">
          <a:avLst/>
        </a:prstGeom>
      </xdr:spPr>
    </xdr:pic>
    <xdr:clientData/>
  </xdr:twoCellAnchor>
  <xdr:twoCellAnchor editAs="oneCell">
    <xdr:from>
      <xdr:col>2</xdr:col>
      <xdr:colOff>252131</xdr:colOff>
      <xdr:row>51</xdr:row>
      <xdr:rowOff>196476</xdr:rowOff>
    </xdr:from>
    <xdr:to>
      <xdr:col>5</xdr:col>
      <xdr:colOff>280145</xdr:colOff>
      <xdr:row>64</xdr:row>
      <xdr:rowOff>135560</xdr:rowOff>
    </xdr:to>
    <xdr:pic>
      <xdr:nvPicPr>
        <xdr:cNvPr id="23" name="Picture 22">
          <a:extLst>
            <a:ext uri="{FF2B5EF4-FFF2-40B4-BE49-F238E27FC236}">
              <a16:creationId xmlns:a16="http://schemas.microsoft.com/office/drawing/2014/main" id="{6704C1EE-98BC-D093-69A8-59B9C3DE1348}"/>
            </a:ext>
          </a:extLst>
        </xdr:cNvPr>
        <xdr:cNvPicPr>
          <a:picLocks noChangeAspect="1"/>
        </xdr:cNvPicPr>
      </xdr:nvPicPr>
      <xdr:blipFill>
        <a:blip xmlns:r="http://schemas.openxmlformats.org/officeDocument/2006/relationships" r:embed="rId4"/>
        <a:stretch>
          <a:fillRect/>
        </a:stretch>
      </xdr:blipFill>
      <xdr:spPr>
        <a:xfrm>
          <a:off x="1895660" y="10673976"/>
          <a:ext cx="2493309" cy="2609819"/>
        </a:xfrm>
        <a:prstGeom prst="rect">
          <a:avLst/>
        </a:prstGeom>
      </xdr:spPr>
    </xdr:pic>
    <xdr:clientData/>
  </xdr:twoCellAnchor>
  <xdr:twoCellAnchor editAs="oneCell">
    <xdr:from>
      <xdr:col>1</xdr:col>
      <xdr:colOff>707018</xdr:colOff>
      <xdr:row>71</xdr:row>
      <xdr:rowOff>72437</xdr:rowOff>
    </xdr:from>
    <xdr:to>
      <xdr:col>5</xdr:col>
      <xdr:colOff>489977</xdr:colOff>
      <xdr:row>76</xdr:row>
      <xdr:rowOff>185853</xdr:rowOff>
    </xdr:to>
    <xdr:pic>
      <xdr:nvPicPr>
        <xdr:cNvPr id="24" name="Picture 23">
          <a:extLst>
            <a:ext uri="{FF2B5EF4-FFF2-40B4-BE49-F238E27FC236}">
              <a16:creationId xmlns:a16="http://schemas.microsoft.com/office/drawing/2014/main" id="{F158D013-A898-A0BE-4FBE-C127540E8B03}"/>
            </a:ext>
          </a:extLst>
        </xdr:cNvPr>
        <xdr:cNvPicPr>
          <a:picLocks noChangeAspect="1"/>
        </xdr:cNvPicPr>
      </xdr:nvPicPr>
      <xdr:blipFill>
        <a:blip xmlns:r="http://schemas.openxmlformats.org/officeDocument/2006/relationships" r:embed="rId5"/>
        <a:stretch>
          <a:fillRect/>
        </a:stretch>
      </xdr:blipFill>
      <xdr:spPr>
        <a:xfrm>
          <a:off x="1543359" y="15467315"/>
          <a:ext cx="3128325" cy="1197562"/>
        </a:xfrm>
        <a:prstGeom prst="rect">
          <a:avLst/>
        </a:prstGeom>
      </xdr:spPr>
    </xdr:pic>
    <xdr:clientData/>
  </xdr:twoCellAnchor>
  <xdr:twoCellAnchor>
    <xdr:from>
      <xdr:col>13</xdr:col>
      <xdr:colOff>741811</xdr:colOff>
      <xdr:row>3</xdr:row>
      <xdr:rowOff>152400</xdr:rowOff>
    </xdr:from>
    <xdr:to>
      <xdr:col>27</xdr:col>
      <xdr:colOff>792611</xdr:colOff>
      <xdr:row>11</xdr:row>
      <xdr:rowOff>25400</xdr:rowOff>
    </xdr:to>
    <xdr:sp macro="" textlink="">
      <xdr:nvSpPr>
        <xdr:cNvPr id="27" name="Snip Same-side Corner of Rectangle 26">
          <a:extLst>
            <a:ext uri="{FF2B5EF4-FFF2-40B4-BE49-F238E27FC236}">
              <a16:creationId xmlns:a16="http://schemas.microsoft.com/office/drawing/2014/main" id="{0BAEFFC6-69BE-A595-B38D-70E95B2F0121}"/>
            </a:ext>
          </a:extLst>
        </xdr:cNvPr>
        <xdr:cNvSpPr/>
      </xdr:nvSpPr>
      <xdr:spPr>
        <a:xfrm>
          <a:off x="11325144" y="738554"/>
          <a:ext cx="11448236" cy="1436077"/>
        </a:xfrm>
        <a:prstGeom prst="snip2SameRect">
          <a:avLst/>
        </a:prstGeom>
        <a:solidFill>
          <a:schemeClr val="bg1">
            <a:lumMod val="85000"/>
          </a:schemeClr>
        </a:solidFill>
        <a:effectLst>
          <a:reflection blurRad="6350" stA="52000" endA="300" endPos="35000" dir="5400000" sy="-100000" algn="bl" rotWithShape="0"/>
          <a:softEdge rad="12700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6000" b="0" cap="none" spc="0">
              <a:ln w="0"/>
              <a:solidFill>
                <a:schemeClr val="tx1"/>
              </a:solidFill>
              <a:effectLst>
                <a:outerShdw blurRad="38100" dist="19050" dir="2700000" algn="tl" rotWithShape="0">
                  <a:schemeClr val="dk1">
                    <a:alpha val="40000"/>
                  </a:schemeClr>
                </a:outerShdw>
              </a:effectLst>
            </a:rPr>
            <a:t>             </a:t>
          </a:r>
          <a:r>
            <a:rPr lang="en-GB" sz="6000" b="0" cap="none" spc="0">
              <a:ln w="0"/>
              <a:solidFill>
                <a:schemeClr val="tx1"/>
              </a:solidFill>
              <a:effectLst>
                <a:outerShdw blurRad="38100" dist="19050" dir="2700000" algn="tl" rotWithShape="0">
                  <a:schemeClr val="dk1">
                    <a:alpha val="40000"/>
                  </a:schemeClr>
                </a:outerShdw>
              </a:effectLst>
              <a:latin typeface="Apple Braille" pitchFamily="2" charset="0"/>
            </a:rPr>
            <a:t>Global Finance</a:t>
          </a:r>
          <a:r>
            <a:rPr lang="en-GB" sz="6000" b="0" cap="none" spc="0" baseline="0">
              <a:ln w="0"/>
              <a:solidFill>
                <a:schemeClr val="tx1"/>
              </a:solidFill>
              <a:effectLst>
                <a:outerShdw blurRad="38100" dist="19050" dir="2700000" algn="tl" rotWithShape="0">
                  <a:schemeClr val="dk1">
                    <a:alpha val="40000"/>
                  </a:schemeClr>
                </a:outerShdw>
              </a:effectLst>
              <a:latin typeface="Apple Braille" pitchFamily="2" charset="0"/>
            </a:rPr>
            <a:t> Data</a:t>
          </a:r>
          <a:endParaRPr lang="en-GB" sz="6000" b="0" cap="none" spc="0">
            <a:ln w="0"/>
            <a:solidFill>
              <a:schemeClr val="tx1"/>
            </a:solidFill>
            <a:effectLst>
              <a:outerShdw blurRad="38100" dist="19050" dir="2700000" algn="tl" rotWithShape="0">
                <a:schemeClr val="dk1">
                  <a:alpha val="40000"/>
                </a:schemeClr>
              </a:outerShdw>
            </a:effectLst>
            <a:latin typeface="Apple Braille" pitchFamily="2" charset="0"/>
          </a:endParaRPr>
        </a:p>
      </xdr:txBody>
    </xdr:sp>
    <xdr:clientData/>
  </xdr:twoCellAnchor>
  <xdr:twoCellAnchor>
    <xdr:from>
      <xdr:col>7</xdr:col>
      <xdr:colOff>606778</xdr:colOff>
      <xdr:row>15</xdr:row>
      <xdr:rowOff>152400</xdr:rowOff>
    </xdr:from>
    <xdr:to>
      <xdr:col>13</xdr:col>
      <xdr:colOff>454378</xdr:colOff>
      <xdr:row>32</xdr:row>
      <xdr:rowOff>50800</xdr:rowOff>
    </xdr:to>
    <xdr:sp macro="" textlink="">
      <xdr:nvSpPr>
        <xdr:cNvPr id="29" name="Bevel 28">
          <a:extLst>
            <a:ext uri="{FF2B5EF4-FFF2-40B4-BE49-F238E27FC236}">
              <a16:creationId xmlns:a16="http://schemas.microsoft.com/office/drawing/2014/main" id="{49D1EAF0-B173-DE58-3F88-F27B5F31B971}"/>
            </a:ext>
          </a:extLst>
        </xdr:cNvPr>
        <xdr:cNvSpPr/>
      </xdr:nvSpPr>
      <xdr:spPr>
        <a:xfrm>
          <a:off x="6342262" y="3224981"/>
          <a:ext cx="4763729" cy="3380658"/>
        </a:xfrm>
        <a:prstGeom prst="bevel">
          <a:avLst/>
        </a:prstGeom>
        <a:gradFill flip="none" rotWithShape="1">
          <a:gsLst>
            <a:gs pos="0">
              <a:schemeClr val="accent5">
                <a:lumMod val="50000"/>
                <a:tint val="66000"/>
                <a:satMod val="160000"/>
              </a:schemeClr>
            </a:gs>
            <a:gs pos="50000">
              <a:schemeClr val="accent5">
                <a:lumMod val="50000"/>
                <a:tint val="44500"/>
                <a:satMod val="160000"/>
              </a:schemeClr>
            </a:gs>
            <a:gs pos="100000">
              <a:schemeClr val="accent5">
                <a:lumMod val="50000"/>
                <a:tint val="23500"/>
                <a:satMod val="160000"/>
              </a:schemeClr>
            </a:gs>
          </a:gsLst>
          <a:lin ang="0" scaled="1"/>
          <a:tileRect/>
        </a:gradFill>
        <a:effectLst>
          <a:reflection blurRad="6350" stA="52000" endA="300" endPos="35000" dir="5400000" sy="-100000" algn="bl" rotWithShape="0"/>
          <a:softEdge rad="12700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14</xdr:col>
      <xdr:colOff>428979</xdr:colOff>
      <xdr:row>15</xdr:row>
      <xdr:rowOff>160868</xdr:rowOff>
    </xdr:from>
    <xdr:to>
      <xdr:col>20</xdr:col>
      <xdr:colOff>276578</xdr:colOff>
      <xdr:row>32</xdr:row>
      <xdr:rowOff>64912</xdr:rowOff>
    </xdr:to>
    <xdr:sp macro="" textlink="">
      <xdr:nvSpPr>
        <xdr:cNvPr id="30" name="Bevel 29">
          <a:extLst>
            <a:ext uri="{FF2B5EF4-FFF2-40B4-BE49-F238E27FC236}">
              <a16:creationId xmlns:a16="http://schemas.microsoft.com/office/drawing/2014/main" id="{DDCCF727-A517-C1B1-CE82-65009BD34003}"/>
            </a:ext>
          </a:extLst>
        </xdr:cNvPr>
        <xdr:cNvSpPr/>
      </xdr:nvSpPr>
      <xdr:spPr>
        <a:xfrm>
          <a:off x="11899947" y="3233449"/>
          <a:ext cx="4763728" cy="3386302"/>
        </a:xfrm>
        <a:prstGeom prst="bevel">
          <a:avLst/>
        </a:prstGeom>
        <a:gradFill flip="none" rotWithShape="1">
          <a:gsLst>
            <a:gs pos="0">
              <a:schemeClr val="accent5">
                <a:lumMod val="50000"/>
                <a:tint val="66000"/>
                <a:satMod val="160000"/>
              </a:schemeClr>
            </a:gs>
            <a:gs pos="50000">
              <a:schemeClr val="accent5">
                <a:lumMod val="50000"/>
                <a:tint val="44500"/>
                <a:satMod val="160000"/>
              </a:schemeClr>
            </a:gs>
            <a:gs pos="100000">
              <a:schemeClr val="accent5">
                <a:lumMod val="50000"/>
                <a:tint val="23500"/>
                <a:satMod val="160000"/>
              </a:schemeClr>
            </a:gs>
          </a:gsLst>
          <a:lin ang="0" scaled="1"/>
          <a:tileRect/>
        </a:gradFill>
        <a:effectLst>
          <a:reflection blurRad="6350" stA="52000" endA="300" endPos="35000" dir="5400000" sy="-100000" algn="bl" rotWithShape="0"/>
          <a:softEdge rad="12700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21</xdr:col>
      <xdr:colOff>222958</xdr:colOff>
      <xdr:row>15</xdr:row>
      <xdr:rowOff>180624</xdr:rowOff>
    </xdr:from>
    <xdr:to>
      <xdr:col>27</xdr:col>
      <xdr:colOff>70557</xdr:colOff>
      <xdr:row>32</xdr:row>
      <xdr:rowOff>79023</xdr:rowOff>
    </xdr:to>
    <xdr:sp macro="" textlink="">
      <xdr:nvSpPr>
        <xdr:cNvPr id="31" name="Bevel 30">
          <a:extLst>
            <a:ext uri="{FF2B5EF4-FFF2-40B4-BE49-F238E27FC236}">
              <a16:creationId xmlns:a16="http://schemas.microsoft.com/office/drawing/2014/main" id="{15889D3F-B712-4BA7-4DAB-BE877C075AF9}"/>
            </a:ext>
          </a:extLst>
        </xdr:cNvPr>
        <xdr:cNvSpPr/>
      </xdr:nvSpPr>
      <xdr:spPr>
        <a:xfrm>
          <a:off x="17429410" y="3253205"/>
          <a:ext cx="4763728" cy="3380657"/>
        </a:xfrm>
        <a:prstGeom prst="bevel">
          <a:avLst/>
        </a:prstGeom>
        <a:gradFill flip="none" rotWithShape="1">
          <a:gsLst>
            <a:gs pos="0">
              <a:schemeClr val="accent5">
                <a:lumMod val="50000"/>
                <a:tint val="66000"/>
                <a:satMod val="160000"/>
              </a:schemeClr>
            </a:gs>
            <a:gs pos="50000">
              <a:schemeClr val="accent5">
                <a:lumMod val="50000"/>
                <a:tint val="44500"/>
                <a:satMod val="160000"/>
              </a:schemeClr>
            </a:gs>
            <a:gs pos="100000">
              <a:schemeClr val="accent5">
                <a:lumMod val="50000"/>
                <a:tint val="23500"/>
                <a:satMod val="160000"/>
              </a:schemeClr>
            </a:gs>
          </a:gsLst>
          <a:lin ang="0" scaled="1"/>
          <a:tileRect/>
        </a:gradFill>
        <a:effectLst>
          <a:reflection blurRad="6350" stA="52000" endA="300" endPos="35000" dir="5400000" sy="-100000" algn="bl" rotWithShape="0"/>
          <a:softEdge rad="12700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28</xdr:col>
      <xdr:colOff>70560</xdr:colOff>
      <xdr:row>15</xdr:row>
      <xdr:rowOff>169335</xdr:rowOff>
    </xdr:from>
    <xdr:to>
      <xdr:col>33</xdr:col>
      <xdr:colOff>756359</xdr:colOff>
      <xdr:row>32</xdr:row>
      <xdr:rowOff>73379</xdr:rowOff>
    </xdr:to>
    <xdr:sp macro="" textlink="">
      <xdr:nvSpPr>
        <xdr:cNvPr id="32" name="Bevel 31">
          <a:extLst>
            <a:ext uri="{FF2B5EF4-FFF2-40B4-BE49-F238E27FC236}">
              <a16:creationId xmlns:a16="http://schemas.microsoft.com/office/drawing/2014/main" id="{0385C18F-A319-FABF-E3EC-A76769E375C3}"/>
            </a:ext>
          </a:extLst>
        </xdr:cNvPr>
        <xdr:cNvSpPr/>
      </xdr:nvSpPr>
      <xdr:spPr>
        <a:xfrm>
          <a:off x="23012495" y="3241916"/>
          <a:ext cx="4782574" cy="3386302"/>
        </a:xfrm>
        <a:prstGeom prst="bevel">
          <a:avLst/>
        </a:prstGeom>
        <a:gradFill flip="none" rotWithShape="1">
          <a:gsLst>
            <a:gs pos="0">
              <a:schemeClr val="accent5">
                <a:lumMod val="50000"/>
                <a:tint val="66000"/>
                <a:satMod val="160000"/>
              </a:schemeClr>
            </a:gs>
            <a:gs pos="50000">
              <a:schemeClr val="accent5">
                <a:lumMod val="50000"/>
                <a:tint val="44500"/>
                <a:satMod val="160000"/>
              </a:schemeClr>
            </a:gs>
            <a:gs pos="100000">
              <a:schemeClr val="accent5">
                <a:lumMod val="50000"/>
                <a:tint val="23500"/>
                <a:satMod val="160000"/>
              </a:schemeClr>
            </a:gs>
          </a:gsLst>
          <a:lin ang="0" scaled="1"/>
          <a:tileRect/>
        </a:gradFill>
        <a:effectLst>
          <a:reflection blurRad="6350" stA="52000" endA="300" endPos="35000" dir="5400000" sy="-100000" algn="bl" rotWithShape="0"/>
          <a:softEdge rad="12700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28</xdr:col>
      <xdr:colOff>98781</xdr:colOff>
      <xdr:row>38</xdr:row>
      <xdr:rowOff>135468</xdr:rowOff>
    </xdr:from>
    <xdr:to>
      <xdr:col>33</xdr:col>
      <xdr:colOff>784580</xdr:colOff>
      <xdr:row>55</xdr:row>
      <xdr:rowOff>39512</xdr:rowOff>
    </xdr:to>
    <xdr:sp macro="" textlink="">
      <xdr:nvSpPr>
        <xdr:cNvPr id="33" name="Bevel 32">
          <a:extLst>
            <a:ext uri="{FF2B5EF4-FFF2-40B4-BE49-F238E27FC236}">
              <a16:creationId xmlns:a16="http://schemas.microsoft.com/office/drawing/2014/main" id="{3E7F5C97-E1B7-7DD4-F2ED-DAB6845DDF20}"/>
            </a:ext>
          </a:extLst>
        </xdr:cNvPr>
        <xdr:cNvSpPr/>
      </xdr:nvSpPr>
      <xdr:spPr>
        <a:xfrm>
          <a:off x="23040716" y="7919339"/>
          <a:ext cx="4782574" cy="3386302"/>
        </a:xfrm>
        <a:prstGeom prst="bevel">
          <a:avLst/>
        </a:prstGeom>
        <a:gradFill flip="none" rotWithShape="1">
          <a:gsLst>
            <a:gs pos="0">
              <a:schemeClr val="accent5">
                <a:lumMod val="50000"/>
                <a:tint val="66000"/>
                <a:satMod val="160000"/>
              </a:schemeClr>
            </a:gs>
            <a:gs pos="50000">
              <a:schemeClr val="accent5">
                <a:lumMod val="50000"/>
                <a:tint val="44500"/>
                <a:satMod val="160000"/>
              </a:schemeClr>
            </a:gs>
            <a:gs pos="100000">
              <a:schemeClr val="accent5">
                <a:lumMod val="50000"/>
                <a:tint val="23500"/>
                <a:satMod val="160000"/>
              </a:schemeClr>
            </a:gs>
          </a:gsLst>
          <a:lin ang="0" scaled="1"/>
          <a:tileRect/>
        </a:gradFill>
        <a:effectLst>
          <a:reflection blurRad="6350" stA="52000" endA="300" endPos="35000" dir="5400000" sy="-100000" algn="bl" rotWithShape="0"/>
          <a:softEdge rad="12700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28</xdr:col>
      <xdr:colOff>254003</xdr:colOff>
      <xdr:row>60</xdr:row>
      <xdr:rowOff>95959</xdr:rowOff>
    </xdr:from>
    <xdr:to>
      <xdr:col>34</xdr:col>
      <xdr:colOff>101603</xdr:colOff>
      <xdr:row>76</xdr:row>
      <xdr:rowOff>191914</xdr:rowOff>
    </xdr:to>
    <xdr:sp macro="" textlink="">
      <xdr:nvSpPr>
        <xdr:cNvPr id="34" name="Bevel 33">
          <a:extLst>
            <a:ext uri="{FF2B5EF4-FFF2-40B4-BE49-F238E27FC236}">
              <a16:creationId xmlns:a16="http://schemas.microsoft.com/office/drawing/2014/main" id="{442AE795-6650-2E8C-22E2-8B26603775FB}"/>
            </a:ext>
          </a:extLst>
        </xdr:cNvPr>
        <xdr:cNvSpPr/>
      </xdr:nvSpPr>
      <xdr:spPr>
        <a:xfrm>
          <a:off x="23195938" y="12386282"/>
          <a:ext cx="4763730" cy="3373374"/>
        </a:xfrm>
        <a:prstGeom prst="bevel">
          <a:avLst/>
        </a:prstGeom>
        <a:gradFill flip="none" rotWithShape="1">
          <a:gsLst>
            <a:gs pos="0">
              <a:schemeClr val="accent5">
                <a:lumMod val="50000"/>
                <a:tint val="66000"/>
                <a:satMod val="160000"/>
              </a:schemeClr>
            </a:gs>
            <a:gs pos="50000">
              <a:schemeClr val="accent5">
                <a:lumMod val="50000"/>
                <a:tint val="44500"/>
                <a:satMod val="160000"/>
              </a:schemeClr>
            </a:gs>
            <a:gs pos="100000">
              <a:schemeClr val="accent5">
                <a:lumMod val="50000"/>
                <a:tint val="23500"/>
                <a:satMod val="160000"/>
              </a:schemeClr>
            </a:gs>
          </a:gsLst>
          <a:lin ang="0" scaled="1"/>
          <a:tileRect/>
        </a:gradFill>
        <a:effectLst>
          <a:reflection blurRad="6350" stA="52000" endA="300" endPos="35000" dir="5400000" sy="-100000" algn="bl" rotWithShape="0"/>
          <a:softEdge rad="12700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21</xdr:col>
      <xdr:colOff>270936</xdr:colOff>
      <xdr:row>60</xdr:row>
      <xdr:rowOff>155225</xdr:rowOff>
    </xdr:from>
    <xdr:to>
      <xdr:col>27</xdr:col>
      <xdr:colOff>118535</xdr:colOff>
      <xdr:row>77</xdr:row>
      <xdr:rowOff>53624</xdr:rowOff>
    </xdr:to>
    <xdr:sp macro="" textlink="">
      <xdr:nvSpPr>
        <xdr:cNvPr id="35" name="Bevel 34">
          <a:extLst>
            <a:ext uri="{FF2B5EF4-FFF2-40B4-BE49-F238E27FC236}">
              <a16:creationId xmlns:a16="http://schemas.microsoft.com/office/drawing/2014/main" id="{EE36E1DF-F1E3-721F-6E14-002BB3BA209C}"/>
            </a:ext>
          </a:extLst>
        </xdr:cNvPr>
        <xdr:cNvSpPr/>
      </xdr:nvSpPr>
      <xdr:spPr>
        <a:xfrm>
          <a:off x="17458269" y="12008558"/>
          <a:ext cx="4758266" cy="3256844"/>
        </a:xfrm>
        <a:prstGeom prst="bevel">
          <a:avLst/>
        </a:prstGeom>
        <a:gradFill flip="none" rotWithShape="1">
          <a:gsLst>
            <a:gs pos="0">
              <a:schemeClr val="accent5">
                <a:lumMod val="50000"/>
                <a:tint val="66000"/>
                <a:satMod val="160000"/>
              </a:schemeClr>
            </a:gs>
            <a:gs pos="50000">
              <a:schemeClr val="accent5">
                <a:lumMod val="50000"/>
                <a:tint val="44500"/>
                <a:satMod val="160000"/>
              </a:schemeClr>
            </a:gs>
            <a:gs pos="100000">
              <a:schemeClr val="accent5">
                <a:lumMod val="50000"/>
                <a:tint val="23500"/>
                <a:satMod val="160000"/>
              </a:schemeClr>
            </a:gs>
          </a:gsLst>
          <a:lin ang="0" scaled="1"/>
          <a:tileRect/>
        </a:gradFill>
        <a:effectLst>
          <a:reflection blurRad="6350" stA="52000" endA="300" endPos="35000" dir="5400000" sy="-100000" algn="bl" rotWithShape="0"/>
          <a:softEdge rad="12700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21</xdr:col>
      <xdr:colOff>254001</xdr:colOff>
      <xdr:row>38</xdr:row>
      <xdr:rowOff>152401</xdr:rowOff>
    </xdr:from>
    <xdr:to>
      <xdr:col>27</xdr:col>
      <xdr:colOff>101600</xdr:colOff>
      <xdr:row>55</xdr:row>
      <xdr:rowOff>50800</xdr:rowOff>
    </xdr:to>
    <xdr:sp macro="" textlink="">
      <xdr:nvSpPr>
        <xdr:cNvPr id="36" name="Bevel 35">
          <a:extLst>
            <a:ext uri="{FF2B5EF4-FFF2-40B4-BE49-F238E27FC236}">
              <a16:creationId xmlns:a16="http://schemas.microsoft.com/office/drawing/2014/main" id="{4ADFC02A-508C-6278-38CF-C551542D464D}"/>
            </a:ext>
          </a:extLst>
        </xdr:cNvPr>
        <xdr:cNvSpPr/>
      </xdr:nvSpPr>
      <xdr:spPr>
        <a:xfrm>
          <a:off x="17441334" y="7659512"/>
          <a:ext cx="4758266" cy="3256844"/>
        </a:xfrm>
        <a:prstGeom prst="bevel">
          <a:avLst/>
        </a:prstGeom>
        <a:gradFill flip="none" rotWithShape="1">
          <a:gsLst>
            <a:gs pos="0">
              <a:schemeClr val="accent5">
                <a:lumMod val="50000"/>
                <a:tint val="66000"/>
                <a:satMod val="160000"/>
              </a:schemeClr>
            </a:gs>
            <a:gs pos="50000">
              <a:schemeClr val="accent5">
                <a:lumMod val="50000"/>
                <a:tint val="44500"/>
                <a:satMod val="160000"/>
              </a:schemeClr>
            </a:gs>
            <a:gs pos="100000">
              <a:schemeClr val="accent5">
                <a:lumMod val="50000"/>
                <a:tint val="23500"/>
                <a:satMod val="160000"/>
              </a:schemeClr>
            </a:gs>
          </a:gsLst>
          <a:lin ang="0" scaled="1"/>
          <a:tileRect/>
        </a:gradFill>
        <a:effectLst>
          <a:reflection blurRad="6350" stA="52000" endA="300" endPos="35000" dir="5400000" sy="-100000" algn="bl" rotWithShape="0"/>
          <a:softEdge rad="12700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14</xdr:col>
      <xdr:colOff>423336</xdr:colOff>
      <xdr:row>38</xdr:row>
      <xdr:rowOff>152402</xdr:rowOff>
    </xdr:from>
    <xdr:to>
      <xdr:col>20</xdr:col>
      <xdr:colOff>290691</xdr:colOff>
      <xdr:row>55</xdr:row>
      <xdr:rowOff>50801</xdr:rowOff>
    </xdr:to>
    <xdr:sp macro="" textlink="">
      <xdr:nvSpPr>
        <xdr:cNvPr id="37" name="Bevel 36">
          <a:extLst>
            <a:ext uri="{FF2B5EF4-FFF2-40B4-BE49-F238E27FC236}">
              <a16:creationId xmlns:a16="http://schemas.microsoft.com/office/drawing/2014/main" id="{7B742D43-FCC3-ECF2-E22B-467FF9A71265}"/>
            </a:ext>
          </a:extLst>
        </xdr:cNvPr>
        <xdr:cNvSpPr/>
      </xdr:nvSpPr>
      <xdr:spPr>
        <a:xfrm>
          <a:off x="11894304" y="7936273"/>
          <a:ext cx="4783484" cy="3380657"/>
        </a:xfrm>
        <a:prstGeom prst="bevel">
          <a:avLst/>
        </a:prstGeom>
        <a:gradFill flip="none" rotWithShape="1">
          <a:gsLst>
            <a:gs pos="0">
              <a:schemeClr val="accent5">
                <a:lumMod val="50000"/>
                <a:tint val="66000"/>
                <a:satMod val="160000"/>
              </a:schemeClr>
            </a:gs>
            <a:gs pos="50000">
              <a:schemeClr val="accent5">
                <a:lumMod val="50000"/>
                <a:tint val="44500"/>
                <a:satMod val="160000"/>
              </a:schemeClr>
            </a:gs>
            <a:gs pos="100000">
              <a:schemeClr val="accent5">
                <a:lumMod val="50000"/>
                <a:tint val="23500"/>
                <a:satMod val="160000"/>
              </a:schemeClr>
            </a:gs>
          </a:gsLst>
          <a:lin ang="0" scaled="1"/>
          <a:tileRect/>
        </a:gradFill>
        <a:effectLst>
          <a:reflection blurRad="6350" stA="52000" endA="300" endPos="35000" dir="5400000" sy="-100000" algn="bl" rotWithShape="0"/>
          <a:softEdge rad="12700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7</xdr:col>
      <xdr:colOff>609600</xdr:colOff>
      <xdr:row>38</xdr:row>
      <xdr:rowOff>152400</xdr:rowOff>
    </xdr:from>
    <xdr:to>
      <xdr:col>13</xdr:col>
      <xdr:colOff>457200</xdr:colOff>
      <xdr:row>55</xdr:row>
      <xdr:rowOff>50800</xdr:rowOff>
    </xdr:to>
    <xdr:sp macro="" textlink="">
      <xdr:nvSpPr>
        <xdr:cNvPr id="38" name="Bevel 37">
          <a:extLst>
            <a:ext uri="{FF2B5EF4-FFF2-40B4-BE49-F238E27FC236}">
              <a16:creationId xmlns:a16="http://schemas.microsoft.com/office/drawing/2014/main" id="{1830C8D3-2F72-E70E-3E02-BDBE484DC0C5}"/>
            </a:ext>
          </a:extLst>
        </xdr:cNvPr>
        <xdr:cNvSpPr/>
      </xdr:nvSpPr>
      <xdr:spPr>
        <a:xfrm>
          <a:off x="6345084" y="7936271"/>
          <a:ext cx="4763729" cy="3380658"/>
        </a:xfrm>
        <a:prstGeom prst="bevel">
          <a:avLst/>
        </a:prstGeom>
        <a:gradFill flip="none" rotWithShape="1">
          <a:gsLst>
            <a:gs pos="0">
              <a:schemeClr val="accent5">
                <a:lumMod val="50000"/>
                <a:tint val="66000"/>
                <a:satMod val="160000"/>
              </a:schemeClr>
            </a:gs>
            <a:gs pos="50000">
              <a:schemeClr val="accent5">
                <a:lumMod val="50000"/>
                <a:tint val="44500"/>
                <a:satMod val="160000"/>
              </a:schemeClr>
            </a:gs>
            <a:gs pos="100000">
              <a:schemeClr val="accent5">
                <a:lumMod val="50000"/>
                <a:tint val="23500"/>
                <a:satMod val="160000"/>
              </a:schemeClr>
            </a:gs>
          </a:gsLst>
          <a:lin ang="0" scaled="1"/>
          <a:tileRect/>
        </a:gradFill>
        <a:effectLst>
          <a:reflection blurRad="6350" stA="52000" endA="300" endPos="35000" dir="5400000" sy="-100000" algn="bl" rotWithShape="0"/>
          <a:softEdge rad="12700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7</xdr:col>
      <xdr:colOff>609600</xdr:colOff>
      <xdr:row>60</xdr:row>
      <xdr:rowOff>177800</xdr:rowOff>
    </xdr:from>
    <xdr:to>
      <xdr:col>13</xdr:col>
      <xdr:colOff>457200</xdr:colOff>
      <xdr:row>77</xdr:row>
      <xdr:rowOff>76200</xdr:rowOff>
    </xdr:to>
    <xdr:sp macro="" textlink="">
      <xdr:nvSpPr>
        <xdr:cNvPr id="39" name="Bevel 38">
          <a:extLst>
            <a:ext uri="{FF2B5EF4-FFF2-40B4-BE49-F238E27FC236}">
              <a16:creationId xmlns:a16="http://schemas.microsoft.com/office/drawing/2014/main" id="{F4E2484D-F0B7-4E43-3E44-A53552C53957}"/>
            </a:ext>
          </a:extLst>
        </xdr:cNvPr>
        <xdr:cNvSpPr/>
      </xdr:nvSpPr>
      <xdr:spPr>
        <a:xfrm>
          <a:off x="6345084" y="12468123"/>
          <a:ext cx="4763729" cy="3380658"/>
        </a:xfrm>
        <a:prstGeom prst="bevel">
          <a:avLst/>
        </a:prstGeom>
        <a:gradFill flip="none" rotWithShape="1">
          <a:gsLst>
            <a:gs pos="0">
              <a:schemeClr val="accent5">
                <a:lumMod val="50000"/>
                <a:tint val="66000"/>
                <a:satMod val="160000"/>
              </a:schemeClr>
            </a:gs>
            <a:gs pos="50000">
              <a:schemeClr val="accent5">
                <a:lumMod val="50000"/>
                <a:tint val="44500"/>
                <a:satMod val="160000"/>
              </a:schemeClr>
            </a:gs>
            <a:gs pos="100000">
              <a:schemeClr val="accent5">
                <a:lumMod val="50000"/>
                <a:tint val="23500"/>
                <a:satMod val="160000"/>
              </a:schemeClr>
            </a:gs>
          </a:gsLst>
          <a:lin ang="0" scaled="1"/>
          <a:tileRect/>
        </a:gradFill>
        <a:effectLst>
          <a:reflection blurRad="6350" stA="52000" endA="300" endPos="35000" dir="5400000" sy="-100000" algn="bl" rotWithShape="0"/>
          <a:softEdge rad="12700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14</xdr:col>
      <xdr:colOff>448735</xdr:colOff>
      <xdr:row>60</xdr:row>
      <xdr:rowOff>189091</xdr:rowOff>
    </xdr:from>
    <xdr:to>
      <xdr:col>20</xdr:col>
      <xdr:colOff>296334</xdr:colOff>
      <xdr:row>77</xdr:row>
      <xdr:rowOff>93135</xdr:rowOff>
    </xdr:to>
    <xdr:sp macro="" textlink="">
      <xdr:nvSpPr>
        <xdr:cNvPr id="40" name="Bevel 39">
          <a:extLst>
            <a:ext uri="{FF2B5EF4-FFF2-40B4-BE49-F238E27FC236}">
              <a16:creationId xmlns:a16="http://schemas.microsoft.com/office/drawing/2014/main" id="{F4E1845E-9A5E-B153-A193-619D20A756B6}"/>
            </a:ext>
          </a:extLst>
        </xdr:cNvPr>
        <xdr:cNvSpPr/>
      </xdr:nvSpPr>
      <xdr:spPr>
        <a:xfrm>
          <a:off x="11919703" y="12479414"/>
          <a:ext cx="4763728" cy="3386302"/>
        </a:xfrm>
        <a:prstGeom prst="bevel">
          <a:avLst/>
        </a:prstGeom>
        <a:gradFill flip="none" rotWithShape="1">
          <a:gsLst>
            <a:gs pos="0">
              <a:schemeClr val="accent5">
                <a:lumMod val="50000"/>
                <a:tint val="66000"/>
                <a:satMod val="160000"/>
              </a:schemeClr>
            </a:gs>
            <a:gs pos="50000">
              <a:schemeClr val="accent5">
                <a:lumMod val="50000"/>
                <a:tint val="44500"/>
                <a:satMod val="160000"/>
              </a:schemeClr>
            </a:gs>
            <a:gs pos="100000">
              <a:schemeClr val="accent5">
                <a:lumMod val="50000"/>
                <a:tint val="23500"/>
                <a:satMod val="160000"/>
              </a:schemeClr>
            </a:gs>
          </a:gsLst>
          <a:lin ang="0" scaled="1"/>
          <a:tileRect/>
        </a:gradFill>
        <a:effectLst>
          <a:reflection blurRad="6350" stA="52000" endA="300" endPos="35000" dir="5400000" sy="-100000" algn="bl" rotWithShape="0"/>
          <a:softEdge rad="12700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182881</xdr:colOff>
      <xdr:row>17</xdr:row>
      <xdr:rowOff>162560</xdr:rowOff>
    </xdr:from>
    <xdr:to>
      <xdr:col>13</xdr:col>
      <xdr:colOff>20321</xdr:colOff>
      <xdr:row>30</xdr:row>
      <xdr:rowOff>20319</xdr:rowOff>
    </xdr:to>
    <xdr:graphicFrame macro="">
      <xdr:nvGraphicFramePr>
        <xdr:cNvPr id="41" name="Chart 40">
          <a:extLst>
            <a:ext uri="{FF2B5EF4-FFF2-40B4-BE49-F238E27FC236}">
              <a16:creationId xmlns:a16="http://schemas.microsoft.com/office/drawing/2014/main" id="{EDB83702-BEAA-E047-8984-34A9F4FCB9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15</xdr:col>
      <xdr:colOff>8181</xdr:colOff>
      <xdr:row>17</xdr:row>
      <xdr:rowOff>171180</xdr:rowOff>
    </xdr:from>
    <xdr:to>
      <xdr:col>19</xdr:col>
      <xdr:colOff>670674</xdr:colOff>
      <xdr:row>30</xdr:row>
      <xdr:rowOff>42809</xdr:rowOff>
    </xdr:to>
    <xdr:graphicFrame macro="">
      <xdr:nvGraphicFramePr>
        <xdr:cNvPr id="42" name="Chart 41">
          <a:extLst>
            <a:ext uri="{FF2B5EF4-FFF2-40B4-BE49-F238E27FC236}">
              <a16:creationId xmlns:a16="http://schemas.microsoft.com/office/drawing/2014/main" id="{9D895267-7048-C047-ADC9-90F0C61B51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21</xdr:col>
      <xdr:colOff>638004</xdr:colOff>
      <xdr:row>17</xdr:row>
      <xdr:rowOff>177560</xdr:rowOff>
    </xdr:from>
    <xdr:to>
      <xdr:col>26</xdr:col>
      <xdr:colOff>473559</xdr:colOff>
      <xdr:row>30</xdr:row>
      <xdr:rowOff>47643</xdr:rowOff>
    </xdr:to>
    <xdr:graphicFrame macro="">
      <xdr:nvGraphicFramePr>
        <xdr:cNvPr id="43" name="Chart 42">
          <a:extLst>
            <a:ext uri="{FF2B5EF4-FFF2-40B4-BE49-F238E27FC236}">
              <a16:creationId xmlns:a16="http://schemas.microsoft.com/office/drawing/2014/main" id="{91CB7DF4-FCD0-9B43-A5E8-64481CB48D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28</xdr:col>
      <xdr:colOff>474229</xdr:colOff>
      <xdr:row>17</xdr:row>
      <xdr:rowOff>176982</xdr:rowOff>
    </xdr:from>
    <xdr:to>
      <xdr:col>33</xdr:col>
      <xdr:colOff>321733</xdr:colOff>
      <xdr:row>30</xdr:row>
      <xdr:rowOff>50799</xdr:rowOff>
    </xdr:to>
    <xdr:graphicFrame macro="">
      <xdr:nvGraphicFramePr>
        <xdr:cNvPr id="44" name="Chart 43">
          <a:extLst>
            <a:ext uri="{FF2B5EF4-FFF2-40B4-BE49-F238E27FC236}">
              <a16:creationId xmlns:a16="http://schemas.microsoft.com/office/drawing/2014/main" id="{A46BEA72-123C-A347-BD35-7FDA93D972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8</xdr:col>
      <xdr:colOff>203364</xdr:colOff>
      <xdr:row>40</xdr:row>
      <xdr:rowOff>163870</xdr:rowOff>
    </xdr:from>
    <xdr:to>
      <xdr:col>13</xdr:col>
      <xdr:colOff>40640</xdr:colOff>
      <xdr:row>53</xdr:row>
      <xdr:rowOff>40639</xdr:rowOff>
    </xdr:to>
    <xdr:graphicFrame macro="">
      <xdr:nvGraphicFramePr>
        <xdr:cNvPr id="45" name="Chart 44">
          <a:extLst>
            <a:ext uri="{FF2B5EF4-FFF2-40B4-BE49-F238E27FC236}">
              <a16:creationId xmlns:a16="http://schemas.microsoft.com/office/drawing/2014/main" id="{3CFD227F-6A56-744E-8D6D-14D157E29B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15</xdr:col>
      <xdr:colOff>15665</xdr:colOff>
      <xdr:row>40</xdr:row>
      <xdr:rowOff>174033</xdr:rowOff>
    </xdr:from>
    <xdr:to>
      <xdr:col>19</xdr:col>
      <xdr:colOff>715992</xdr:colOff>
      <xdr:row>53</xdr:row>
      <xdr:rowOff>40640</xdr:rowOff>
    </xdr:to>
    <xdr:graphicFrame macro="">
      <xdr:nvGraphicFramePr>
        <xdr:cNvPr id="46" name="Chart 45">
          <a:extLst>
            <a:ext uri="{FF2B5EF4-FFF2-40B4-BE49-F238E27FC236}">
              <a16:creationId xmlns:a16="http://schemas.microsoft.com/office/drawing/2014/main" id="{9FD89599-EEC9-7845-9BD1-97921F8456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21</xdr:col>
      <xdr:colOff>674022</xdr:colOff>
      <xdr:row>40</xdr:row>
      <xdr:rowOff>158047</xdr:rowOff>
    </xdr:from>
    <xdr:to>
      <xdr:col>26</xdr:col>
      <xdr:colOff>508000</xdr:colOff>
      <xdr:row>53</xdr:row>
      <xdr:rowOff>56760</xdr:rowOff>
    </xdr:to>
    <xdr:graphicFrame macro="">
      <xdr:nvGraphicFramePr>
        <xdr:cNvPr id="47" name="Chart 46">
          <a:extLst>
            <a:ext uri="{FF2B5EF4-FFF2-40B4-BE49-F238E27FC236}">
              <a16:creationId xmlns:a16="http://schemas.microsoft.com/office/drawing/2014/main" id="{12173140-8974-DB44-845D-C98884241B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28</xdr:col>
      <xdr:colOff>519384</xdr:colOff>
      <xdr:row>40</xdr:row>
      <xdr:rowOff>146939</xdr:rowOff>
    </xdr:from>
    <xdr:to>
      <xdr:col>33</xdr:col>
      <xdr:colOff>355601</xdr:colOff>
      <xdr:row>53</xdr:row>
      <xdr:rowOff>16933</xdr:rowOff>
    </xdr:to>
    <xdr:graphicFrame macro="">
      <xdr:nvGraphicFramePr>
        <xdr:cNvPr id="48" name="Chart 47">
          <a:extLst>
            <a:ext uri="{FF2B5EF4-FFF2-40B4-BE49-F238E27FC236}">
              <a16:creationId xmlns:a16="http://schemas.microsoft.com/office/drawing/2014/main" id="{EEB6971B-C668-B648-AD88-4ABB8CBBD2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8</xdr:col>
      <xdr:colOff>181352</xdr:colOff>
      <xdr:row>62</xdr:row>
      <xdr:rowOff>186268</xdr:rowOff>
    </xdr:from>
    <xdr:to>
      <xdr:col>13</xdr:col>
      <xdr:colOff>50802</xdr:colOff>
      <xdr:row>75</xdr:row>
      <xdr:rowOff>84668</xdr:rowOff>
    </xdr:to>
    <xdr:graphicFrame macro="">
      <xdr:nvGraphicFramePr>
        <xdr:cNvPr id="49" name="Chart 48">
          <a:extLst>
            <a:ext uri="{FF2B5EF4-FFF2-40B4-BE49-F238E27FC236}">
              <a16:creationId xmlns:a16="http://schemas.microsoft.com/office/drawing/2014/main" id="{7D633096-E33B-7542-A1F6-19003BFAC1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15</xdr:col>
      <xdr:colOff>32505</xdr:colOff>
      <xdr:row>62</xdr:row>
      <xdr:rowOff>186267</xdr:rowOff>
    </xdr:from>
    <xdr:to>
      <xdr:col>19</xdr:col>
      <xdr:colOff>717826</xdr:colOff>
      <xdr:row>75</xdr:row>
      <xdr:rowOff>101601</xdr:rowOff>
    </xdr:to>
    <xdr:graphicFrame macro="">
      <xdr:nvGraphicFramePr>
        <xdr:cNvPr id="50" name="Chart 49">
          <a:extLst>
            <a:ext uri="{FF2B5EF4-FFF2-40B4-BE49-F238E27FC236}">
              <a16:creationId xmlns:a16="http://schemas.microsoft.com/office/drawing/2014/main" id="{0F2CF169-A817-E748-9291-B19B8A88E5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28</xdr:col>
      <xdr:colOff>676233</xdr:colOff>
      <xdr:row>62</xdr:row>
      <xdr:rowOff>98219</xdr:rowOff>
    </xdr:from>
    <xdr:to>
      <xdr:col>33</xdr:col>
      <xdr:colOff>508000</xdr:colOff>
      <xdr:row>75</xdr:row>
      <xdr:rowOff>0</xdr:rowOff>
    </xdr:to>
    <xdr:graphicFrame macro="">
      <xdr:nvGraphicFramePr>
        <xdr:cNvPr id="51" name="Chart 50">
          <a:extLst>
            <a:ext uri="{FF2B5EF4-FFF2-40B4-BE49-F238E27FC236}">
              <a16:creationId xmlns:a16="http://schemas.microsoft.com/office/drawing/2014/main" id="{888EAB41-30E0-2046-B78D-BA9696A888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21</xdr:col>
      <xdr:colOff>685800</xdr:colOff>
      <xdr:row>62</xdr:row>
      <xdr:rowOff>165100</xdr:rowOff>
    </xdr:from>
    <xdr:to>
      <xdr:col>26</xdr:col>
      <xdr:colOff>533400</xdr:colOff>
      <xdr:row>75</xdr:row>
      <xdr:rowOff>38100</xdr:rowOff>
    </xdr:to>
    <xdr:graphicFrame macro="">
      <xdr:nvGraphicFramePr>
        <xdr:cNvPr id="52" name="Chart 51">
          <a:extLst>
            <a:ext uri="{FF2B5EF4-FFF2-40B4-BE49-F238E27FC236}">
              <a16:creationId xmlns:a16="http://schemas.microsoft.com/office/drawing/2014/main" id="{765EE4C4-7465-0E44-9CF3-0614FD3FEB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274382</xdr:colOff>
      <xdr:row>26</xdr:row>
      <xdr:rowOff>159613</xdr:rowOff>
    </xdr:from>
    <xdr:to>
      <xdr:col>7</xdr:col>
      <xdr:colOff>690189</xdr:colOff>
      <xdr:row>40</xdr:row>
      <xdr:rowOff>49232</xdr:rowOff>
    </xdr:to>
    <xdr:graphicFrame macro="">
      <xdr:nvGraphicFramePr>
        <xdr:cNvPr id="4" name="Chart 3">
          <a:extLst>
            <a:ext uri="{FF2B5EF4-FFF2-40B4-BE49-F238E27FC236}">
              <a16:creationId xmlns:a16="http://schemas.microsoft.com/office/drawing/2014/main" id="{4FFDC458-98B0-4A68-1CB5-F2C6CC7145C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482600</xdr:colOff>
      <xdr:row>19</xdr:row>
      <xdr:rowOff>186267</xdr:rowOff>
    </xdr:from>
    <xdr:to>
      <xdr:col>21</xdr:col>
      <xdr:colOff>76200</xdr:colOff>
      <xdr:row>33</xdr:row>
      <xdr:rowOff>84667</xdr:rowOff>
    </xdr:to>
    <xdr:graphicFrame macro="">
      <xdr:nvGraphicFramePr>
        <xdr:cNvPr id="7" name="Chart 6">
          <a:extLst>
            <a:ext uri="{FF2B5EF4-FFF2-40B4-BE49-F238E27FC236}">
              <a16:creationId xmlns:a16="http://schemas.microsoft.com/office/drawing/2014/main" id="{767CABB7-5D42-2FD9-5585-99E41C60449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547590</xdr:colOff>
      <xdr:row>63</xdr:row>
      <xdr:rowOff>2811</xdr:rowOff>
    </xdr:from>
    <xdr:to>
      <xdr:col>32</xdr:col>
      <xdr:colOff>1222885</xdr:colOff>
      <xdr:row>88</xdr:row>
      <xdr:rowOff>159966</xdr:rowOff>
    </xdr:to>
    <xdr:graphicFrame macro="">
      <xdr:nvGraphicFramePr>
        <xdr:cNvPr id="11" name="Chart 10">
          <a:extLst>
            <a:ext uri="{FF2B5EF4-FFF2-40B4-BE49-F238E27FC236}">
              <a16:creationId xmlns:a16="http://schemas.microsoft.com/office/drawing/2014/main" id="{38C1394A-589A-69C1-9A1A-C7A7AF1FA17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32</xdr:col>
      <xdr:colOff>959673</xdr:colOff>
      <xdr:row>19</xdr:row>
      <xdr:rowOff>118843</xdr:rowOff>
    </xdr:from>
    <xdr:to>
      <xdr:col>57</xdr:col>
      <xdr:colOff>307303</xdr:colOff>
      <xdr:row>57</xdr:row>
      <xdr:rowOff>43937</xdr:rowOff>
    </xdr:to>
    <xdr:graphicFrame macro="">
      <xdr:nvGraphicFramePr>
        <xdr:cNvPr id="12" name="Chart 11">
          <a:extLst>
            <a:ext uri="{FF2B5EF4-FFF2-40B4-BE49-F238E27FC236}">
              <a16:creationId xmlns:a16="http://schemas.microsoft.com/office/drawing/2014/main" id="{064E4BD9-AD5A-22EC-5281-4DE041C8BB2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72</xdr:col>
      <xdr:colOff>229657</xdr:colOff>
      <xdr:row>29</xdr:row>
      <xdr:rowOff>107950</xdr:rowOff>
    </xdr:from>
    <xdr:to>
      <xdr:col>86</xdr:col>
      <xdr:colOff>409221</xdr:colOff>
      <xdr:row>57</xdr:row>
      <xdr:rowOff>192264</xdr:rowOff>
    </xdr:to>
    <xdr:graphicFrame macro="">
      <xdr:nvGraphicFramePr>
        <xdr:cNvPr id="18" name="Chart 17">
          <a:extLst>
            <a:ext uri="{FF2B5EF4-FFF2-40B4-BE49-F238E27FC236}">
              <a16:creationId xmlns:a16="http://schemas.microsoft.com/office/drawing/2014/main" id="{8B6EFD2D-7AF2-965E-177C-E780AB1CCE5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99</xdr:col>
      <xdr:colOff>317500</xdr:colOff>
      <xdr:row>31</xdr:row>
      <xdr:rowOff>25400</xdr:rowOff>
    </xdr:from>
    <xdr:to>
      <xdr:col>103</xdr:col>
      <xdr:colOff>279400</xdr:colOff>
      <xdr:row>49</xdr:row>
      <xdr:rowOff>152400</xdr:rowOff>
    </xdr:to>
    <xdr:graphicFrame macro="">
      <xdr:nvGraphicFramePr>
        <xdr:cNvPr id="20" name="Chart 19">
          <a:extLst>
            <a:ext uri="{FF2B5EF4-FFF2-40B4-BE49-F238E27FC236}">
              <a16:creationId xmlns:a16="http://schemas.microsoft.com/office/drawing/2014/main" id="{781236D5-802A-018C-12AC-8B323C2202E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109</xdr:col>
      <xdr:colOff>749300</xdr:colOff>
      <xdr:row>25</xdr:row>
      <xdr:rowOff>76200</xdr:rowOff>
    </xdr:from>
    <xdr:to>
      <xdr:col>121</xdr:col>
      <xdr:colOff>279400</xdr:colOff>
      <xdr:row>58</xdr:row>
      <xdr:rowOff>177800</xdr:rowOff>
    </xdr:to>
    <xdr:graphicFrame macro="">
      <xdr:nvGraphicFramePr>
        <xdr:cNvPr id="21" name="Chart 20">
          <a:extLst>
            <a:ext uri="{FF2B5EF4-FFF2-40B4-BE49-F238E27FC236}">
              <a16:creationId xmlns:a16="http://schemas.microsoft.com/office/drawing/2014/main" id="{63DA2930-B8A7-E8B8-80B8-F2AE3838E5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127</xdr:col>
      <xdr:colOff>1308100</xdr:colOff>
      <xdr:row>31</xdr:row>
      <xdr:rowOff>152400</xdr:rowOff>
    </xdr:from>
    <xdr:to>
      <xdr:col>137</xdr:col>
      <xdr:colOff>533400</xdr:colOff>
      <xdr:row>56</xdr:row>
      <xdr:rowOff>152400</xdr:rowOff>
    </xdr:to>
    <xdr:graphicFrame macro="">
      <xdr:nvGraphicFramePr>
        <xdr:cNvPr id="25" name="Chart 24">
          <a:extLst>
            <a:ext uri="{FF2B5EF4-FFF2-40B4-BE49-F238E27FC236}">
              <a16:creationId xmlns:a16="http://schemas.microsoft.com/office/drawing/2014/main" id="{FAC44397-97C5-4DE9-7412-E726FCB1471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154</xdr:col>
      <xdr:colOff>181842</xdr:colOff>
      <xdr:row>55</xdr:row>
      <xdr:rowOff>86013</xdr:rowOff>
    </xdr:from>
    <xdr:to>
      <xdr:col>156</xdr:col>
      <xdr:colOff>1521115</xdr:colOff>
      <xdr:row>69</xdr:row>
      <xdr:rowOff>577</xdr:rowOff>
    </xdr:to>
    <xdr:graphicFrame macro="">
      <xdr:nvGraphicFramePr>
        <xdr:cNvPr id="27" name="Chart 26">
          <a:extLst>
            <a:ext uri="{FF2B5EF4-FFF2-40B4-BE49-F238E27FC236}">
              <a16:creationId xmlns:a16="http://schemas.microsoft.com/office/drawing/2014/main" id="{CE937EC4-6DD4-9E32-88C5-76B9F20F5AC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164</xdr:col>
      <xdr:colOff>561877</xdr:colOff>
      <xdr:row>37</xdr:row>
      <xdr:rowOff>0</xdr:rowOff>
    </xdr:from>
    <xdr:to>
      <xdr:col>178</xdr:col>
      <xdr:colOff>307878</xdr:colOff>
      <xdr:row>77</xdr:row>
      <xdr:rowOff>159327</xdr:rowOff>
    </xdr:to>
    <xdr:graphicFrame macro="">
      <xdr:nvGraphicFramePr>
        <xdr:cNvPr id="30" name="Chart 29">
          <a:extLst>
            <a:ext uri="{FF2B5EF4-FFF2-40B4-BE49-F238E27FC236}">
              <a16:creationId xmlns:a16="http://schemas.microsoft.com/office/drawing/2014/main" id="{5B232F3A-12F2-88C3-C7E7-D3438A3A15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179</xdr:col>
      <xdr:colOff>342900</xdr:colOff>
      <xdr:row>35</xdr:row>
      <xdr:rowOff>127000</xdr:rowOff>
    </xdr:from>
    <xdr:to>
      <xdr:col>186</xdr:col>
      <xdr:colOff>50800</xdr:colOff>
      <xdr:row>51</xdr:row>
      <xdr:rowOff>25400</xdr:rowOff>
    </xdr:to>
    <xdr:graphicFrame macro="">
      <xdr:nvGraphicFramePr>
        <xdr:cNvPr id="31" name="Chart 30">
          <a:extLst>
            <a:ext uri="{FF2B5EF4-FFF2-40B4-BE49-F238E27FC236}">
              <a16:creationId xmlns:a16="http://schemas.microsoft.com/office/drawing/2014/main" id="{616F7974-24D5-3272-B3D2-606C81D950F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197</xdr:col>
      <xdr:colOff>292100</xdr:colOff>
      <xdr:row>29</xdr:row>
      <xdr:rowOff>38100</xdr:rowOff>
    </xdr:from>
    <xdr:to>
      <xdr:col>199</xdr:col>
      <xdr:colOff>444500</xdr:colOff>
      <xdr:row>42</xdr:row>
      <xdr:rowOff>15872</xdr:rowOff>
    </xdr:to>
    <mc:AlternateContent xmlns:mc="http://schemas.openxmlformats.org/markup-compatibility/2006">
      <mc:Choice xmlns:a14="http://schemas.microsoft.com/office/drawing/2010/main" Requires="a14">
        <xdr:graphicFrame macro="">
          <xdr:nvGraphicFramePr>
            <xdr:cNvPr id="32" name="Banking_Sector_Health">
              <a:extLst>
                <a:ext uri="{FF2B5EF4-FFF2-40B4-BE49-F238E27FC236}">
                  <a16:creationId xmlns:a16="http://schemas.microsoft.com/office/drawing/2014/main" id="{13AEB52B-E21C-46F3-AB53-113E417D46F9}"/>
                </a:ext>
              </a:extLst>
            </xdr:cNvPr>
            <xdr:cNvGraphicFramePr/>
          </xdr:nvGraphicFramePr>
          <xdr:xfrm>
            <a:off x="0" y="0"/>
            <a:ext cx="0" cy="0"/>
          </xdr:xfrm>
          <a:graphic>
            <a:graphicData uri="http://schemas.microsoft.com/office/drawing/2010/slicer">
              <sle:slicer xmlns:sle="http://schemas.microsoft.com/office/drawing/2010/slicer" name="Banking_Sector_Health"/>
            </a:graphicData>
          </a:graphic>
        </xdr:graphicFrame>
      </mc:Choice>
      <mc:Fallback>
        <xdr:sp macro="" textlink="">
          <xdr:nvSpPr>
            <xdr:cNvPr id="0" name=""/>
            <xdr:cNvSpPr>
              <a:spLocks noTextEdit="1"/>
            </xdr:cNvSpPr>
          </xdr:nvSpPr>
          <xdr:spPr>
            <a:xfrm>
              <a:off x="172097700" y="5930900"/>
              <a:ext cx="1778000" cy="261937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186</xdr:col>
      <xdr:colOff>1384300</xdr:colOff>
      <xdr:row>53</xdr:row>
      <xdr:rowOff>127000</xdr:rowOff>
    </xdr:from>
    <xdr:to>
      <xdr:col>194</xdr:col>
      <xdr:colOff>635000</xdr:colOff>
      <xdr:row>74</xdr:row>
      <xdr:rowOff>76200</xdr:rowOff>
    </xdr:to>
    <xdr:graphicFrame macro="">
      <xdr:nvGraphicFramePr>
        <xdr:cNvPr id="33" name="Chart 32">
          <a:extLst>
            <a:ext uri="{FF2B5EF4-FFF2-40B4-BE49-F238E27FC236}">
              <a16:creationId xmlns:a16="http://schemas.microsoft.com/office/drawing/2014/main" id="{B226B2DE-0662-D890-D48E-01F63090E5B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rosoft Office User" refreshedDate="45919.40338541667" createdVersion="8" refreshedVersion="8" minRefreshableVersion="3" recordCount="6" xr:uid="{EEB4BD94-0219-DA40-8759-52E90494238D}">
  <cacheSource type="worksheet">
    <worksheetSource ref="L19:N25" sheet="Excel 2 mark"/>
  </cacheSource>
  <cacheFields count="3">
    <cacheField name="OrderID" numFmtId="0">
      <sharedItems containsSemiMixedTypes="0" containsString="0" containsNumber="1" containsInteger="1" minValue="1001" maxValue="1006"/>
    </cacheField>
    <cacheField name="Region" numFmtId="0">
      <sharedItems count="4">
        <s v="North"/>
        <s v="South"/>
        <s v="East"/>
        <s v="West"/>
      </sharedItems>
    </cacheField>
    <cacheField name="Sales" numFmtId="0">
      <sharedItems containsSemiMixedTypes="0" containsString="0" containsNumber="1" containsInteger="1" minValue="35000" maxValue="72000"/>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rosoft Office User" refreshedDate="45919.49207453704" createdVersion="8" refreshedVersion="8" minRefreshableVersion="3" recordCount="39" xr:uid="{BE9B94E9-F55A-DF4F-9E80-798A96EB690C}">
  <cacheSource type="worksheet">
    <worksheetSource name="Table4"/>
  </cacheSource>
  <cacheFields count="26">
    <cacheField name="Country" numFmtId="49">
      <sharedItems count="39">
        <s v="United States"/>
        <s v="China"/>
        <s v="Japan"/>
        <s v="Germany"/>
        <s v="United Kingdom"/>
        <s v="France"/>
        <s v="India"/>
        <s v="Canada"/>
        <s v="Brazil"/>
        <s v="Australia"/>
        <s v="South Korea"/>
        <s v="Russia"/>
        <s v="Mexico"/>
        <s v="Italy"/>
        <s v="Spain"/>
        <s v="Netherlands"/>
        <s v="Switzerland"/>
        <s v="Sweden"/>
        <s v="Norway"/>
        <s v="Denmark"/>
        <s v="Singapore"/>
        <s v="Hong Kong"/>
        <s v="Taiwan"/>
        <s v="Indonesia"/>
        <s v="Thailand"/>
        <s v="Malaysia"/>
        <s v="Philippines"/>
        <s v="Vietnam"/>
        <s v="Turkey"/>
        <s v="South Africa"/>
        <s v="Egypt"/>
        <s v="Nigeria"/>
        <s v="Chile"/>
        <s v="Argentina"/>
        <s v="Colombia"/>
        <s v="Peru"/>
        <s v="UAE"/>
        <s v="Saudi Arabia"/>
        <s v="Israel"/>
      </sharedItems>
    </cacheField>
    <cacheField name="Date" numFmtId="14">
      <sharedItems containsSemiMixedTypes="0" containsNonDate="0" containsDate="1" containsString="0" minDate="2024-08-15T00:00:00" maxDate="2024-08-16T00:00:00" count="1">
        <d v="2024-08-15T00:00:00"/>
      </sharedItems>
    </cacheField>
    <cacheField name="Stock_Index" numFmtId="49">
      <sharedItems/>
    </cacheField>
    <cacheField name="Index_Value" numFmtId="0">
      <sharedItems containsSemiMixedTypes="0" containsString="0" containsNumber="1" minValue="889.3" maxValue="1567890.2"/>
    </cacheField>
    <cacheField name="Daily_Change_Percent" numFmtId="0">
      <sharedItems containsSemiMixedTypes="0" containsString="0" containsNumber="1" minValue="-1.23" maxValue="3.45"/>
    </cacheField>
    <cacheField name="Market_Cap_Trillion_USD" numFmtId="0">
      <sharedItems containsSemiMixedTypes="0" containsString="0" containsNumber="1" minValue="0.03" maxValue="51.2"/>
    </cacheField>
    <cacheField name="GDP_Growth_Rate_Percent" numFmtId="0">
      <sharedItems containsSemiMixedTypes="0" containsString="0" containsNumber="1" minValue="-1.9" maxValue="6.8" count="29">
        <n v="2.8"/>
        <n v="5.2"/>
        <n v="0.9"/>
        <n v="0.3"/>
        <n v="1.1000000000000001"/>
        <n v="1.3"/>
        <n v="6.8"/>
        <n v="2.9"/>
        <n v="2.1"/>
        <n v="1.7"/>
        <n v="3.1"/>
        <n v="-1.9"/>
        <n v="2.4"/>
        <n v="0.7"/>
        <n v="2.5"/>
        <n v="0.6"/>
        <n v="1.2"/>
        <n v="0.8"/>
        <n v="1.8"/>
        <n v="2.6"/>
        <n v="3.2"/>
        <n v="3.8"/>
        <n v="5.0999999999999996"/>
        <n v="4.2"/>
        <n v="5.8"/>
        <n v="6.4"/>
        <n v="-1.6"/>
        <n v="3.9"/>
        <n v="2"/>
      </sharedItems>
    </cacheField>
    <cacheField name="Inflation_Rate_Percent" numFmtId="0">
      <sharedItems containsSemiMixedTypes="0" containsString="0" containsNumber="1" minValue="-0.4" maxValue="211.4" count="30">
        <n v="2.9"/>
        <n v="0.8"/>
        <n v="2.8"/>
        <n v="2.2000000000000002"/>
        <n v="2"/>
        <n v="2.2999999999999998"/>
        <n v="4.9000000000000004"/>
        <n v="4.5"/>
        <n v="3.8"/>
        <n v="2.4"/>
        <n v="7.4"/>
        <n v="4.7"/>
        <n v="1"/>
        <n v="3.2"/>
        <n v="1.1000000000000001"/>
        <n v="1.4"/>
        <n v="1.9"/>
        <n v="3.1"/>
        <n v="1.7"/>
        <n v="1.8"/>
        <n v="2.1"/>
        <n v="0.4"/>
        <n v="3.7"/>
        <n v="4.0999999999999996"/>
        <n v="64.8"/>
        <n v="33.1"/>
        <n v="21.8"/>
        <n v="211.4"/>
        <n v="7.2"/>
        <n v="-0.4"/>
      </sharedItems>
    </cacheField>
    <cacheField name="Interest_Rate_Percent" numFmtId="0">
      <sharedItems containsSemiMixedTypes="0" containsString="0" containsNumber="1" minValue="-0.1" maxValue="133"/>
    </cacheField>
    <cacheField name="Unemployment_Rate_Percent" numFmtId="0">
      <sharedItems containsSemiMixedTypes="0" containsString="0" containsNumber="1" minValue="1.2" maxValue="28.7"/>
    </cacheField>
    <cacheField name="Currency_Code" numFmtId="49">
      <sharedItems/>
    </cacheField>
    <cacheField name="Exchange_Rate_USD" numFmtId="0">
      <sharedItems containsSemiMixedTypes="0" containsString="0" containsNumber="1" minValue="0.78" maxValue="24789"/>
    </cacheField>
    <cacheField name="Currency_Change_YTD_Percent" numFmtId="0">
      <sharedItems containsSemiMixedTypes="0" containsString="0" containsNumber="1" minValue="-89.7" maxValue="6.2"/>
    </cacheField>
    <cacheField name="Government_Debt_GDP_Percent" numFmtId="0">
      <sharedItems containsSemiMixedTypes="0" containsString="0" containsNumber="1" minValue="0.1" maxValue="263.10000000000002"/>
    </cacheField>
    <cacheField name="Current_Account_Balance_Billion_USD" numFmtId="0">
      <sharedItems containsSemiMixedTypes="0" containsString="0" containsNumber="1" minValue="-695.2" maxValue="382.9"/>
    </cacheField>
    <cacheField name="FDI_Inflow_Billion_USD" numFmtId="0">
      <sharedItems containsSemiMixedTypes="0" containsString="0" containsNumber="1" minValue="2.2999999999999998" maxValue="456.8"/>
    </cacheField>
    <cacheField name="Commodity_Index" numFmtId="0">
      <sharedItems containsSemiMixedTypes="0" containsString="0" containsNumber="1" minValue="0.45" maxValue="1.18"/>
    </cacheField>
    <cacheField name="Oil_Price_USD_Barrel" numFmtId="0">
      <sharedItems containsSemiMixedTypes="0" containsString="0" containsNumber="1" minValue="77.849999999999994" maxValue="77.849999999999994"/>
    </cacheField>
    <cacheField name="Gold_Price_USD_Ounce" numFmtId="0">
      <sharedItems containsSemiMixedTypes="0" containsString="0" containsNumber="1" minValue="2487.5" maxValue="2487.5"/>
    </cacheField>
    <cacheField name="Bond_Yield_10Y_Percent" numFmtId="10">
      <sharedItems containsSemiMixedTypes="0" containsString="0" containsNumber="1" minValue="0.68" maxValue="89.45"/>
    </cacheField>
    <cacheField name="Credit_Rating" numFmtId="0">
      <sharedItems count="14">
        <s v="AAA"/>
        <s v="A+"/>
        <s v="AA"/>
        <s v="BBB-"/>
        <s v="BB-"/>
        <s v="BB+"/>
        <s v="BBB"/>
        <s v="A"/>
        <s v="AA+"/>
        <s v="BBB+"/>
        <s v="A-"/>
        <s v="B+"/>
        <s v="B-"/>
        <s v="CCC+"/>
      </sharedItems>
    </cacheField>
    <cacheField name="Political_Risk_Score" numFmtId="0">
      <sharedItems containsSemiMixedTypes="0" containsString="0" containsNumber="1" minValue="2.1" maxValue="9.1"/>
    </cacheField>
    <cacheField name="Banking_Sector_Health" numFmtId="0">
      <sharedItems count="3">
        <s v="Strong"/>
        <s v="Moderate"/>
        <s v="Weak"/>
      </sharedItems>
    </cacheField>
    <cacheField name="Real_Estate_Index" numFmtId="0">
      <sharedItems containsSemiMixedTypes="0" containsString="0" containsNumber="1" minValue="34.5" maxValue="145.6"/>
    </cacheField>
    <cacheField name="Export_Growth_Percent" numFmtId="10">
      <sharedItems containsSemiMixedTypes="0" containsString="0" containsNumber="1" minValue="-12.3" maxValue="23.4"/>
    </cacheField>
    <cacheField name="Import_Growth_Percent" numFmtId="10">
      <sharedItems containsSemiMixedTypes="0" containsString="0" containsNumber="1" minValue="1.2" maxValue="34.5"/>
    </cacheField>
  </cacheFields>
  <extLst>
    <ext xmlns:x14="http://schemas.microsoft.com/office/spreadsheetml/2009/9/main" uri="{725AE2AE-9491-48be-B2B4-4EB974FC3084}">
      <x14:pivotCacheDefinition pivotCacheId="81317128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
  <r>
    <n v="1001"/>
    <x v="0"/>
    <n v="45000"/>
  </r>
  <r>
    <n v="1002"/>
    <x v="1"/>
    <n v="52000"/>
  </r>
  <r>
    <n v="1003"/>
    <x v="2"/>
    <n v="67000"/>
  </r>
  <r>
    <n v="1004"/>
    <x v="3"/>
    <n v="48000"/>
  </r>
  <r>
    <n v="1005"/>
    <x v="0"/>
    <n v="72000"/>
  </r>
  <r>
    <n v="1006"/>
    <x v="1"/>
    <n v="3500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9">
  <r>
    <x v="0"/>
    <x v="0"/>
    <s v="S&amp;P_500"/>
    <n v="5437.2"/>
    <n v="0.34"/>
    <n v="51.2"/>
    <x v="0"/>
    <x v="0"/>
    <n v="5.5"/>
    <n v="3.7"/>
    <s v="USD"/>
    <n v="1"/>
    <n v="0"/>
    <n v="126.4"/>
    <n v="-695.2"/>
    <n v="456.8"/>
    <n v="1.1200000000000001"/>
    <n v="77.849999999999994"/>
    <n v="2487.5"/>
    <n v="4.25"/>
    <x v="0"/>
    <n v="8.1"/>
    <x v="0"/>
    <n v="145.6"/>
    <n v="3.2"/>
    <n v="2.8"/>
  </r>
  <r>
    <x v="1"/>
    <x v="0"/>
    <s v="Shanghai_Composite"/>
    <n v="2891.6"/>
    <n v="-0.82"/>
    <n v="12.4"/>
    <x v="1"/>
    <x v="1"/>
    <n v="3.1"/>
    <n v="5.2"/>
    <s v="CNY"/>
    <n v="7.28"/>
    <n v="2.2999999999999998"/>
    <n v="77.099999999999994"/>
    <n v="382.9"/>
    <n v="189.7"/>
    <n v="0.98"/>
    <n v="77.849999999999994"/>
    <n v="2487.5"/>
    <n v="2.15"/>
    <x v="1"/>
    <n v="6.7"/>
    <x v="1"/>
    <n v="98.7"/>
    <n v="8.9"/>
    <n v="6.1"/>
  </r>
  <r>
    <x v="2"/>
    <x v="0"/>
    <s v="Nikkei_225"/>
    <n v="36789.1"/>
    <n v="1.24"/>
    <n v="6.8"/>
    <x v="2"/>
    <x v="2"/>
    <n v="-0.1"/>
    <n v="2.4"/>
    <s v="JPY"/>
    <n v="147.19999999999999"/>
    <n v="-8.9"/>
    <n v="263.10000000000002"/>
    <n v="49.7"/>
    <n v="23.4"/>
    <n v="1.05"/>
    <n v="77.849999999999994"/>
    <n v="2487.5"/>
    <n v="0.89"/>
    <x v="1"/>
    <n v="8.4"/>
    <x v="0"/>
    <n v="89.3"/>
    <n v="5.0999999999999996"/>
    <n v="4.7"/>
  </r>
  <r>
    <x v="3"/>
    <x v="0"/>
    <s v="DAX"/>
    <n v="18234.5"/>
    <n v="0.67"/>
    <n v="2.9"/>
    <x v="3"/>
    <x v="3"/>
    <n v="4.5"/>
    <n v="3.1"/>
    <s v="EUR"/>
    <n v="0.92"/>
    <n v="1.8"/>
    <n v="66.3"/>
    <n v="297.39999999999998"/>
    <n v="67.8"/>
    <n v="1.08"/>
    <n v="77.849999999999994"/>
    <n v="2487.5"/>
    <n v="2.31"/>
    <x v="0"/>
    <n v="8.6999999999999993"/>
    <x v="0"/>
    <n v="112.4"/>
    <n v="2.1"/>
    <n v="1.8"/>
  </r>
  <r>
    <x v="4"/>
    <x v="0"/>
    <s v="FTSE_100"/>
    <n v="8156.3"/>
    <n v="-0.15"/>
    <n v="3.1"/>
    <x v="4"/>
    <x v="4"/>
    <n v="5.25"/>
    <n v="4.2"/>
    <s v="GBP"/>
    <n v="0.78"/>
    <n v="-0.9"/>
    <n v="101.2"/>
    <n v="-85.6"/>
    <n v="45.2"/>
    <n v="1.06"/>
    <n v="77.849999999999994"/>
    <n v="2487.5"/>
    <n v="3.89"/>
    <x v="2"/>
    <n v="7.9"/>
    <x v="1"/>
    <n v="97.8"/>
    <n v="0.9"/>
    <n v="1.2"/>
  </r>
  <r>
    <x v="5"/>
    <x v="0"/>
    <s v="CAC_40"/>
    <n v="7389.2"/>
    <n v="0.28000000000000003"/>
    <n v="3"/>
    <x v="5"/>
    <x v="5"/>
    <n v="4.5"/>
    <n v="7.4"/>
    <s v="EUR"/>
    <n v="0.92"/>
    <n v="1.8"/>
    <n v="111.8"/>
    <n v="-22.1"/>
    <n v="56.7"/>
    <n v="1.08"/>
    <n v="77.849999999999994"/>
    <n v="2487.5"/>
    <n v="2.95"/>
    <x v="2"/>
    <n v="7.3"/>
    <x v="1"/>
    <n v="103.2"/>
    <n v="1.8"/>
    <n v="2.1"/>
  </r>
  <r>
    <x v="6"/>
    <x v="0"/>
    <s v="Sensex"/>
    <n v="80456.7"/>
    <n v="0.89"/>
    <n v="4.3"/>
    <x v="6"/>
    <x v="6"/>
    <n v="6.5"/>
    <n v="3.2"/>
    <s v="INR"/>
    <n v="83.7"/>
    <n v="-0.5"/>
    <n v="84.2"/>
    <n v="-23.1"/>
    <n v="67.400000000000006"/>
    <n v="1.1499999999999999"/>
    <n v="77.849999999999994"/>
    <n v="2487.5"/>
    <n v="7.04"/>
    <x v="3"/>
    <n v="6.8"/>
    <x v="1"/>
    <n v="134.80000000000001"/>
    <n v="13.2"/>
    <n v="10.9"/>
  </r>
  <r>
    <x v="7"/>
    <x v="0"/>
    <s v="TSX"/>
    <n v="22567.8"/>
    <n v="0.45"/>
    <n v="2.8"/>
    <x v="7"/>
    <x v="2"/>
    <n v="4.75"/>
    <n v="6.1"/>
    <s v="CAD"/>
    <n v="1.37"/>
    <n v="4.2"/>
    <n v="106.7"/>
    <n v="12.8"/>
    <n v="34.5"/>
    <n v="1.0900000000000001"/>
    <n v="77.849999999999994"/>
    <n v="2487.5"/>
    <n v="3.42"/>
    <x v="0"/>
    <n v="8.9"/>
    <x v="0"/>
    <n v="126.7"/>
    <n v="4.0999999999999996"/>
    <n v="3.8"/>
  </r>
  <r>
    <x v="8"/>
    <x v="0"/>
    <s v="Bovespa"/>
    <n v="129834.2"/>
    <n v="1.67"/>
    <n v="1.4"/>
    <x v="8"/>
    <x v="7"/>
    <n v="10.75"/>
    <n v="7.8"/>
    <s v="BRL"/>
    <n v="5.47"/>
    <n v="-8.9"/>
    <n v="87.7"/>
    <n v="-46.9"/>
    <n v="67.2"/>
    <n v="0.95"/>
    <n v="77.849999999999994"/>
    <n v="2487.5"/>
    <n v="10.84"/>
    <x v="4"/>
    <n v="5.4"/>
    <x v="2"/>
    <n v="89.3"/>
    <n v="8.6999999999999993"/>
    <n v="6.9"/>
  </r>
  <r>
    <x v="9"/>
    <x v="0"/>
    <s v="ASX_200"/>
    <n v="7923.4"/>
    <n v="0.22"/>
    <n v="1.8"/>
    <x v="9"/>
    <x v="8"/>
    <n v="4.3499999999999996"/>
    <n v="4.0999999999999996"/>
    <s v="AUD"/>
    <n v="1.52"/>
    <n v="5.6"/>
    <n v="45.1"/>
    <n v="67.8"/>
    <n v="45.7"/>
    <n v="1.1100000000000001"/>
    <n v="77.849999999999994"/>
    <n v="2487.5"/>
    <n v="4.07"/>
    <x v="0"/>
    <n v="8.6"/>
    <x v="0"/>
    <n v="118.9"/>
    <n v="6.2"/>
    <n v="5.4"/>
  </r>
  <r>
    <x v="10"/>
    <x v="0"/>
    <s v="KOSPI"/>
    <n v="2634.5"/>
    <n v="-0.34"/>
    <n v="1.9"/>
    <x v="10"/>
    <x v="9"/>
    <n v="3.5"/>
    <n v="2.9"/>
    <s v="KRW"/>
    <n v="1342.5"/>
    <n v="-2.1"/>
    <n v="54.6"/>
    <n v="67.400000000000006"/>
    <n v="12.8"/>
    <n v="1.02"/>
    <n v="77.849999999999994"/>
    <n v="2487.5"/>
    <n v="3.28"/>
    <x v="2"/>
    <n v="7.8"/>
    <x v="0"/>
    <n v="95.6"/>
    <n v="9.1"/>
    <n v="7.8"/>
  </r>
  <r>
    <x v="11"/>
    <x v="0"/>
    <s v="MOEX"/>
    <n v="2789.1"/>
    <n v="0.78"/>
    <n v="0.6"/>
    <x v="11"/>
    <x v="10"/>
    <n v="16"/>
    <n v="3.4"/>
    <s v="RUB"/>
    <n v="91.2"/>
    <n v="-15.6"/>
    <n v="21.4"/>
    <n v="67.8"/>
    <n v="8.9"/>
    <n v="0.87"/>
    <n v="77.849999999999994"/>
    <n v="2487.5"/>
    <n v="12.45"/>
    <x v="5"/>
    <n v="3.2"/>
    <x v="2"/>
    <n v="67.400000000000006"/>
    <n v="15.2"/>
    <n v="18.7"/>
  </r>
  <r>
    <x v="12"/>
    <x v="0"/>
    <s v="IPC"/>
    <n v="55234.6"/>
    <n v="0.91"/>
    <n v="0.7"/>
    <x v="12"/>
    <x v="11"/>
    <n v="11"/>
    <n v="2.8"/>
    <s v="MXN"/>
    <n v="19.8"/>
    <n v="-10.199999999999999"/>
    <n v="54.7"/>
    <n v="-12.4"/>
    <n v="34.700000000000003"/>
    <n v="0.89"/>
    <n v="77.849999999999994"/>
    <n v="2487.5"/>
    <n v="9.1199999999999992"/>
    <x v="6"/>
    <n v="6.1"/>
    <x v="1"/>
    <n v="102.3"/>
    <n v="7.9"/>
    <n v="8.1999999999999993"/>
  </r>
  <r>
    <x v="13"/>
    <x v="0"/>
    <s v="FTSE_MIB"/>
    <n v="33456.699999999997"/>
    <n v="0.34"/>
    <n v="0.9"/>
    <x v="13"/>
    <x v="12"/>
    <n v="4.5"/>
    <n v="7.6"/>
    <s v="EUR"/>
    <n v="0.92"/>
    <n v="1.8"/>
    <n v="144.4"/>
    <n v="-56.7"/>
    <n v="28.9"/>
    <n v="1.08"/>
    <n v="77.849999999999994"/>
    <n v="2487.5"/>
    <n v="3.67"/>
    <x v="6"/>
    <n v="7.1"/>
    <x v="1"/>
    <n v="89.7"/>
    <n v="3.2"/>
    <n v="2.9"/>
  </r>
  <r>
    <x v="14"/>
    <x v="0"/>
    <s v="IBEX_35"/>
    <n v="11123.8"/>
    <n v="0.67"/>
    <n v="0.8"/>
    <x v="14"/>
    <x v="13"/>
    <n v="4.5"/>
    <n v="11.5"/>
    <s v="EUR"/>
    <n v="0.92"/>
    <n v="1.8"/>
    <n v="107.7"/>
    <n v="23.4"/>
    <n v="45.6"/>
    <n v="1.08"/>
    <n v="77.849999999999994"/>
    <n v="2487.5"/>
    <n v="3.21"/>
    <x v="7"/>
    <n v="7.8"/>
    <x v="1"/>
    <n v="98.3"/>
    <n v="4.0999999999999996"/>
    <n v="3.7"/>
  </r>
  <r>
    <x v="15"/>
    <x v="0"/>
    <s v="AEX"/>
    <n v="889.3"/>
    <n v="0.12"/>
    <n v="1.1000000000000001"/>
    <x v="15"/>
    <x v="14"/>
    <n v="4.5"/>
    <n v="3.6"/>
    <s v="EUR"/>
    <n v="0.92"/>
    <n v="1.8"/>
    <n v="52.4"/>
    <n v="89.7"/>
    <n v="78.900000000000006"/>
    <n v="1.08"/>
    <n v="77.849999999999994"/>
    <n v="2487.5"/>
    <n v="2.78"/>
    <x v="0"/>
    <n v="8.8000000000000007"/>
    <x v="0"/>
    <n v="134.5"/>
    <n v="2.8"/>
    <n v="2.4"/>
  </r>
  <r>
    <x v="16"/>
    <x v="0"/>
    <s v="SMI"/>
    <n v="12234.5"/>
    <n v="0.28000000000000003"/>
    <n v="1.8"/>
    <x v="16"/>
    <x v="15"/>
    <n v="1.25"/>
    <n v="2.4"/>
    <s v="CHF"/>
    <n v="0.87"/>
    <n v="6.2"/>
    <n v="41"/>
    <n v="67.8"/>
    <n v="23.4"/>
    <n v="1.1299999999999999"/>
    <n v="77.849999999999994"/>
    <n v="2487.5"/>
    <n v="0.68"/>
    <x v="0"/>
    <n v="9.1"/>
    <x v="0"/>
    <n v="142.6"/>
    <n v="1.9"/>
    <n v="2.1"/>
  </r>
  <r>
    <x v="17"/>
    <x v="0"/>
    <s v="OMX_Stockholm"/>
    <n v="2567.8000000000002"/>
    <n v="0.45"/>
    <n v="0.7"/>
    <x v="17"/>
    <x v="16"/>
    <n v="3.75"/>
    <n v="7.8"/>
    <s v="SEK"/>
    <n v="10.9"/>
    <n v="-4.7"/>
    <n v="35.1"/>
    <n v="34.5"/>
    <n v="12.8"/>
    <n v="1.07"/>
    <n v="77.849999999999994"/>
    <n v="2487.5"/>
    <n v="2.34"/>
    <x v="0"/>
    <n v="8.9"/>
    <x v="0"/>
    <n v="119.8"/>
    <n v="3.4"/>
    <n v="2.9"/>
  </r>
  <r>
    <x v="18"/>
    <x v="0"/>
    <s v="OSE"/>
    <n v="1345.6"/>
    <n v="0.67"/>
    <n v="0.4"/>
    <x v="8"/>
    <x v="17"/>
    <n v="4.5"/>
    <n v="3.4"/>
    <s v="NOK"/>
    <n v="11.2"/>
    <n v="2.8"/>
    <n v="45.7"/>
    <n v="78.900000000000006"/>
    <n v="8.9"/>
    <n v="1.1399999999999999"/>
    <n v="77.849999999999994"/>
    <n v="2487.5"/>
    <n v="3.12"/>
    <x v="0"/>
    <n v="9"/>
    <x v="0"/>
    <n v="127.3"/>
    <n v="8.9"/>
    <n v="6.7"/>
  </r>
  <r>
    <x v="19"/>
    <x v="0"/>
    <s v="OMXC_20"/>
    <n v="2234.5"/>
    <n v="0.23"/>
    <n v="0.4"/>
    <x v="18"/>
    <x v="18"/>
    <n v="3.6"/>
    <n v="5.0999999999999996"/>
    <s v="DKK"/>
    <n v="6.86"/>
    <n v="1.9"/>
    <n v="29.8"/>
    <n v="23.4"/>
    <n v="5.6"/>
    <n v="1.08"/>
    <n v="77.849999999999994"/>
    <n v="2487.5"/>
    <n v="2.4500000000000002"/>
    <x v="0"/>
    <n v="8.9"/>
    <x v="0"/>
    <n v="124.7"/>
    <n v="2.1"/>
    <n v="1.8"/>
  </r>
  <r>
    <x v="20"/>
    <x v="0"/>
    <s v="STI"/>
    <n v="3456.7"/>
    <n v="0.56000000000000005"/>
    <n v="0.8"/>
    <x v="19"/>
    <x v="9"/>
    <n v="3.5"/>
    <n v="2.1"/>
    <s v="SGD"/>
    <n v="1.35"/>
    <n v="1.2"/>
    <n v="130.1"/>
    <n v="67.8"/>
    <n v="89.7"/>
    <n v="1.0900000000000001"/>
    <n v="77.849999999999994"/>
    <n v="2487.5"/>
    <n v="3.18"/>
    <x v="0"/>
    <n v="8.6999999999999993"/>
    <x v="0"/>
    <n v="98.9"/>
    <n v="12.4"/>
    <n v="11.7"/>
  </r>
  <r>
    <x v="21"/>
    <x v="0"/>
    <s v="Hang_Seng"/>
    <n v="17234.5"/>
    <n v="-1.23"/>
    <n v="4.2"/>
    <x v="20"/>
    <x v="19"/>
    <n v="5.75"/>
    <n v="2.8"/>
    <s v="HKD"/>
    <n v="7.82"/>
    <n v="0.1"/>
    <n v="0.1"/>
    <n v="34.5"/>
    <n v="67.8"/>
    <n v="0.98"/>
    <n v="77.849999999999994"/>
    <n v="2487.5"/>
    <n v="3.89"/>
    <x v="8"/>
    <n v="7.2"/>
    <x v="1"/>
    <n v="87.6"/>
    <n v="6.7"/>
    <n v="5.9"/>
  </r>
  <r>
    <x v="22"/>
    <x v="0"/>
    <s v="TAIEX"/>
    <n v="22567.8"/>
    <n v="0.78"/>
    <n v="2.1"/>
    <x v="21"/>
    <x v="20"/>
    <n v="1.5"/>
    <n v="3.7"/>
    <s v="TWD"/>
    <n v="32.1"/>
    <n v="-1.8"/>
    <n v="28.7"/>
    <n v="89.7"/>
    <n v="12.3"/>
    <n v="1.04"/>
    <n v="77.849999999999994"/>
    <n v="2487.5"/>
    <n v="1.23"/>
    <x v="2"/>
    <n v="8.1"/>
    <x v="0"/>
    <n v="112.4"/>
    <n v="15.2"/>
    <n v="13.8"/>
  </r>
  <r>
    <x v="23"/>
    <x v="0"/>
    <s v="JCI"/>
    <n v="7234.5"/>
    <n v="0.45"/>
    <n v="0.7"/>
    <x v="22"/>
    <x v="2"/>
    <n v="6"/>
    <n v="5.4"/>
    <s v="IDR"/>
    <n v="15487"/>
    <n v="-2.2999999999999998"/>
    <n v="39.799999999999997"/>
    <n v="-12.1"/>
    <n v="23.4"/>
    <n v="0.94"/>
    <n v="77.849999999999994"/>
    <n v="2487.5"/>
    <n v="7.12"/>
    <x v="6"/>
    <n v="6.5"/>
    <x v="1"/>
    <n v="89.7"/>
    <n v="8.9"/>
    <n v="7.3"/>
  </r>
  <r>
    <x v="24"/>
    <x v="0"/>
    <s v="SET"/>
    <n v="1567.8"/>
    <n v="0.34"/>
    <n v="0.6"/>
    <x v="7"/>
    <x v="21"/>
    <n v="2.5"/>
    <n v="1.2"/>
    <s v="THB"/>
    <n v="36.200000000000003"/>
    <n v="3.4"/>
    <n v="61.4"/>
    <n v="12.8"/>
    <n v="8.9"/>
    <n v="0.97"/>
    <n v="77.849999999999994"/>
    <n v="2487.5"/>
    <n v="2.67"/>
    <x v="9"/>
    <n v="7.1"/>
    <x v="1"/>
    <n v="95.3"/>
    <n v="4.0999999999999996"/>
    <n v="3.8"/>
  </r>
  <r>
    <x v="25"/>
    <x v="0"/>
    <s v="KLCI"/>
    <n v="1634.5"/>
    <n v="0.67"/>
    <n v="0.5"/>
    <x v="23"/>
    <x v="4"/>
    <n v="3"/>
    <n v="3.4"/>
    <s v="MYR"/>
    <n v="4.67"/>
    <n v="-6.7"/>
    <n v="70.099999999999994"/>
    <n v="23.4"/>
    <n v="12.1"/>
    <n v="0.91"/>
    <n v="77.849999999999994"/>
    <n v="2487.5"/>
    <n v="3.78"/>
    <x v="10"/>
    <n v="7.3"/>
    <x v="1"/>
    <n v="87.9"/>
    <n v="6.7"/>
    <n v="5.9"/>
  </r>
  <r>
    <x v="26"/>
    <x v="0"/>
    <s v="PSE"/>
    <n v="6789.1"/>
    <n v="0.89"/>
    <n v="0.3"/>
    <x v="24"/>
    <x v="22"/>
    <n v="6.5"/>
    <n v="5.9"/>
    <s v="PHP"/>
    <n v="56.3"/>
    <n v="-8.9"/>
    <n v="63.5"/>
    <n v="-8.9"/>
    <n v="9.8000000000000007"/>
    <n v="0.88"/>
    <n v="77.849999999999994"/>
    <n v="2487.5"/>
    <n v="6.45"/>
    <x v="9"/>
    <n v="6.8"/>
    <x v="1"/>
    <n v="78.900000000000006"/>
    <n v="8.1"/>
    <n v="7.4"/>
  </r>
  <r>
    <x v="27"/>
    <x v="0"/>
    <s v="VN_Index"/>
    <n v="1234.5"/>
    <n v="1.23"/>
    <n v="0.3"/>
    <x v="25"/>
    <x v="23"/>
    <n v="4.5"/>
    <n v="12.3"/>
    <s v="VND"/>
    <n v="24789"/>
    <n v="-3.4"/>
    <n v="43.1"/>
    <n v="12.8"/>
    <n v="15.6"/>
    <n v="0.85"/>
    <n v="77.849999999999994"/>
    <n v="2487.5"/>
    <n v="2.89"/>
    <x v="5"/>
    <n v="6.2"/>
    <x v="1"/>
    <n v="123.4"/>
    <n v="12.8"/>
    <n v="14.2"/>
  </r>
  <r>
    <x v="28"/>
    <x v="0"/>
    <s v="BIST_100"/>
    <n v="10567.8"/>
    <n v="2.34"/>
    <n v="0.3"/>
    <x v="10"/>
    <x v="24"/>
    <n v="50"/>
    <n v="10.5"/>
    <s v="TRY"/>
    <n v="33.700000000000003"/>
    <n v="-35.6"/>
    <n v="32.1"/>
    <n v="-45.6"/>
    <n v="12.8"/>
    <n v="0.76"/>
    <n v="77.849999999999994"/>
    <n v="2487.5"/>
    <n v="28.45"/>
    <x v="11"/>
    <n v="4.8"/>
    <x v="2"/>
    <n v="67.8"/>
    <n v="3.4"/>
    <n v="8.9"/>
  </r>
  <r>
    <x v="29"/>
    <x v="0"/>
    <s v="JSE"/>
    <n v="75234.600000000006"/>
    <n v="0.78"/>
    <n v="0.4"/>
    <x v="2"/>
    <x v="11"/>
    <n v="8.25"/>
    <n v="28.7"/>
    <s v="ZAR"/>
    <n v="18.2"/>
    <n v="-7.8"/>
    <n v="71.099999999999994"/>
    <n v="8.9"/>
    <n v="4.5"/>
    <n v="0.82"/>
    <n v="77.849999999999994"/>
    <n v="2487.5"/>
    <n v="11.78"/>
    <x v="4"/>
    <n v="5.9"/>
    <x v="2"/>
    <n v="89.3"/>
    <n v="2.1"/>
    <n v="1.8"/>
  </r>
  <r>
    <x v="30"/>
    <x v="0"/>
    <s v="EGX_30"/>
    <n v="25678.9"/>
    <n v="1.45"/>
    <n v="0.03"/>
    <x v="0"/>
    <x v="25"/>
    <n v="27.25"/>
    <n v="7.2"/>
    <s v="EGP"/>
    <n v="30.9"/>
    <n v="-49.7"/>
    <n v="89.7"/>
    <n v="-18.899999999999999"/>
    <n v="8.9"/>
    <n v="0.71"/>
    <n v="77.849999999999994"/>
    <n v="2487.5"/>
    <n v="19.45"/>
    <x v="11"/>
    <n v="4.2"/>
    <x v="2"/>
    <n v="56.7"/>
    <n v="12.3"/>
    <n v="23.4"/>
  </r>
  <r>
    <x v="31"/>
    <x v="0"/>
    <s v="NSE"/>
    <n v="98765.4"/>
    <n v="2.1"/>
    <n v="0.04"/>
    <x v="20"/>
    <x v="26"/>
    <n v="18.75"/>
    <n v="5.0999999999999996"/>
    <s v="NGN"/>
    <n v="1567"/>
    <n v="-68.900000000000006"/>
    <n v="37.1"/>
    <n v="34.5"/>
    <n v="2.2999999999999998"/>
    <n v="0.68"/>
    <n v="77.849999999999994"/>
    <n v="2487.5"/>
    <n v="14.67"/>
    <x v="12"/>
    <n v="3.8"/>
    <x v="2"/>
    <n v="78.900000000000006"/>
    <n v="23.4"/>
    <n v="34.5"/>
  </r>
  <r>
    <x v="32"/>
    <x v="0"/>
    <s v="IPSA"/>
    <n v="5678.9"/>
    <n v="0.67"/>
    <n v="0.2"/>
    <x v="12"/>
    <x v="23"/>
    <n v="5.75"/>
    <n v="8.8000000000000007"/>
    <s v="CLP"/>
    <n v="967"/>
    <n v="-8.9"/>
    <n v="37.799999999999997"/>
    <n v="23.4"/>
    <n v="18.899999999999999"/>
    <n v="0.93"/>
    <n v="77.849999999999994"/>
    <n v="2487.5"/>
    <n v="5.89"/>
    <x v="7"/>
    <n v="7.8"/>
    <x v="1"/>
    <n v="95.6"/>
    <n v="6.7"/>
    <n v="5.2"/>
  </r>
  <r>
    <x v="33"/>
    <x v="0"/>
    <s v="Merval"/>
    <n v="1567890.2"/>
    <n v="3.45"/>
    <n v="0.05"/>
    <x v="26"/>
    <x v="27"/>
    <n v="133"/>
    <n v="6.2"/>
    <s v="ARS"/>
    <n v="945"/>
    <n v="-89.7"/>
    <n v="78.900000000000006"/>
    <n v="-23.4"/>
    <n v="4.5"/>
    <n v="0.45"/>
    <n v="77.849999999999994"/>
    <n v="2487.5"/>
    <n v="89.45"/>
    <x v="13"/>
    <n v="2.1"/>
    <x v="2"/>
    <n v="34.5"/>
    <n v="-12.3"/>
    <n v="15.6"/>
  </r>
  <r>
    <x v="34"/>
    <x v="0"/>
    <s v="COLCAP"/>
    <n v="1234.5"/>
    <n v="0.89"/>
    <n v="0.1"/>
    <x v="16"/>
    <x v="28"/>
    <n v="10.75"/>
    <n v="10.199999999999999"/>
    <s v="COP"/>
    <n v="4134"/>
    <n v="-18.899999999999999"/>
    <n v="56.7"/>
    <n v="-12.1"/>
    <n v="12.8"/>
    <n v="0.78"/>
    <n v="77.849999999999994"/>
    <n v="2487.5"/>
    <n v="12.34"/>
    <x v="5"/>
    <n v="5.8"/>
    <x v="1"/>
    <n v="87.3"/>
    <n v="8.9"/>
    <n v="7.1"/>
  </r>
  <r>
    <x v="35"/>
    <x v="0"/>
    <s v="Lima_General"/>
    <n v="23456.7"/>
    <n v="1.1200000000000001"/>
    <n v="0.08"/>
    <x v="0"/>
    <x v="2"/>
    <n v="5.75"/>
    <n v="6.4"/>
    <s v="PEN"/>
    <n v="3.78"/>
    <n v="-6.7"/>
    <n v="34.200000000000003"/>
    <n v="8.9"/>
    <n v="6.7"/>
    <n v="0.91"/>
    <n v="77.849999999999994"/>
    <n v="2487.5"/>
    <n v="6.78"/>
    <x v="9"/>
    <n v="6.7"/>
    <x v="1"/>
    <n v="98.7"/>
    <n v="9.8000000000000007"/>
    <n v="8.1999999999999993"/>
  </r>
  <r>
    <x v="36"/>
    <x v="0"/>
    <s v="ADX"/>
    <n v="9876.5"/>
    <n v="0.34"/>
    <n v="0.7"/>
    <x v="27"/>
    <x v="16"/>
    <n v="5.4"/>
    <n v="2.8"/>
    <s v="AED"/>
    <n v="3.67"/>
    <n v="0"/>
    <n v="34.5"/>
    <n v="67.8"/>
    <n v="23.4"/>
    <n v="1.06"/>
    <n v="77.849999999999994"/>
    <n v="2487.5"/>
    <n v="4.12"/>
    <x v="2"/>
    <n v="8.1999999999999993"/>
    <x v="0"/>
    <n v="134.5"/>
    <n v="23.4"/>
    <n v="18.899999999999999"/>
  </r>
  <r>
    <x v="37"/>
    <x v="0"/>
    <s v="Tadawul"/>
    <n v="12345.6"/>
    <n v="0.56000000000000005"/>
    <n v="2.8"/>
    <x v="4"/>
    <x v="29"/>
    <n v="6"/>
    <n v="5.8"/>
    <s v="SAR"/>
    <n v="3.75"/>
    <n v="0"/>
    <n v="26.7"/>
    <n v="34.5"/>
    <n v="8.9"/>
    <n v="1.18"/>
    <n v="77.849999999999994"/>
    <n v="2487.5"/>
    <n v="4.2300000000000004"/>
    <x v="10"/>
    <n v="6.9"/>
    <x v="1"/>
    <n v="98.7"/>
    <n v="12.3"/>
    <n v="8.9"/>
  </r>
  <r>
    <x v="38"/>
    <x v="0"/>
    <s v="TA_125"/>
    <n v="1987.3"/>
    <n v="-0.78"/>
    <n v="0.4"/>
    <x v="28"/>
    <x v="5"/>
    <n v="4.75"/>
    <n v="3.4"/>
    <s v="ILS"/>
    <n v="3.68"/>
    <n v="-2.1"/>
    <n v="60.9"/>
    <n v="23.4"/>
    <n v="18.899999999999999"/>
    <n v="1.03"/>
    <n v="77.849999999999994"/>
    <n v="2487.5"/>
    <n v="4.5599999999999996"/>
    <x v="1"/>
    <n v="6.8"/>
    <x v="1"/>
    <n v="89.7"/>
    <n v="5.6"/>
    <n v="4.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B71B678-4A2D-9645-A540-7512BE4DAF17}" name="PivotTable6"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7:B22" firstHeaderRow="1" firstDataRow="1" firstDataCol="1"/>
  <pivotFields count="3">
    <pivotField showAll="0"/>
    <pivotField axis="axisRow" showAll="0">
      <items count="5">
        <item x="2"/>
        <item x="0"/>
        <item x="1"/>
        <item x="3"/>
        <item t="default"/>
      </items>
    </pivotField>
    <pivotField dataField="1" showAll="0"/>
  </pivotFields>
  <rowFields count="1">
    <field x="1"/>
  </rowFields>
  <rowItems count="5">
    <i>
      <x/>
    </i>
    <i>
      <x v="1"/>
    </i>
    <i>
      <x v="2"/>
    </i>
    <i>
      <x v="3"/>
    </i>
    <i t="grand">
      <x/>
    </i>
  </rowItems>
  <colItems count="1">
    <i/>
  </colItems>
  <dataFields count="1">
    <dataField name="Sum of Sales" fld="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471F7BC-FC9F-054C-9A38-9A0E294509DA}" name="PivotTable23"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8">
  <location ref="GK28:GM44" firstHeaderRow="1" firstDataRow="2" firstDataCol="1"/>
  <pivotFields count="26">
    <pivotField axis="axisRow" dataField="1" showAll="0">
      <items count="40">
        <item x="33"/>
        <item x="9"/>
        <item x="8"/>
        <item x="7"/>
        <item x="32"/>
        <item x="1"/>
        <item x="34"/>
        <item x="19"/>
        <item x="30"/>
        <item x="5"/>
        <item x="3"/>
        <item x="21"/>
        <item x="6"/>
        <item x="23"/>
        <item x="38"/>
        <item x="13"/>
        <item x="2"/>
        <item x="25"/>
        <item x="12"/>
        <item x="15"/>
        <item x="31"/>
        <item x="18"/>
        <item x="35"/>
        <item x="26"/>
        <item x="11"/>
        <item x="37"/>
        <item x="20"/>
        <item x="29"/>
        <item x="10"/>
        <item x="14"/>
        <item x="17"/>
        <item x="16"/>
        <item x="22"/>
        <item x="24"/>
        <item x="28"/>
        <item x="36"/>
        <item x="4"/>
        <item x="0"/>
        <item x="27"/>
        <item t="default"/>
      </items>
    </pivotField>
    <pivotField numFmtId="14" showAll="0">
      <items count="2">
        <item x="0"/>
        <item t="default"/>
      </items>
    </pivotField>
    <pivotField showAll="0"/>
    <pivotField showAll="0"/>
    <pivotField showAll="0"/>
    <pivotField showAll="0"/>
    <pivotField showAll="0">
      <items count="30">
        <item x="11"/>
        <item x="26"/>
        <item x="3"/>
        <item x="15"/>
        <item x="13"/>
        <item x="17"/>
        <item x="2"/>
        <item x="4"/>
        <item x="16"/>
        <item x="5"/>
        <item x="9"/>
        <item x="18"/>
        <item x="28"/>
        <item x="8"/>
        <item x="12"/>
        <item x="14"/>
        <item x="19"/>
        <item x="0"/>
        <item x="7"/>
        <item x="10"/>
        <item x="20"/>
        <item x="21"/>
        <item x="27"/>
        <item x="23"/>
        <item x="22"/>
        <item x="1"/>
        <item x="24"/>
        <item x="25"/>
        <item x="6"/>
        <item t="default"/>
      </items>
    </pivotField>
    <pivotField showAll="0">
      <items count="31">
        <item x="29"/>
        <item x="21"/>
        <item x="1"/>
        <item x="12"/>
        <item x="14"/>
        <item x="15"/>
        <item x="18"/>
        <item x="19"/>
        <item x="16"/>
        <item x="4"/>
        <item x="20"/>
        <item x="3"/>
        <item x="5"/>
        <item x="9"/>
        <item x="2"/>
        <item x="0"/>
        <item x="17"/>
        <item x="13"/>
        <item x="22"/>
        <item x="8"/>
        <item x="23"/>
        <item x="7"/>
        <item x="11"/>
        <item x="6"/>
        <item x="28"/>
        <item x="10"/>
        <item x="26"/>
        <item x="25"/>
        <item x="24"/>
        <item x="27"/>
        <item t="default"/>
      </items>
    </pivotField>
    <pivotField showAll="0"/>
    <pivotField showAll="0"/>
    <pivotField showAll="0"/>
    <pivotField showAll="0"/>
    <pivotField showAll="0"/>
    <pivotField showAll="0"/>
    <pivotField showAll="0"/>
    <pivotField showAll="0"/>
    <pivotField showAll="0"/>
    <pivotField showAll="0"/>
    <pivotField showAll="0"/>
    <pivotField numFmtId="10" showAll="0"/>
    <pivotField showAll="0">
      <items count="15">
        <item x="7"/>
        <item x="10"/>
        <item x="1"/>
        <item x="2"/>
        <item x="8"/>
        <item x="0"/>
        <item x="12"/>
        <item x="11"/>
        <item x="4"/>
        <item x="5"/>
        <item x="6"/>
        <item x="3"/>
        <item x="9"/>
        <item x="13"/>
        <item t="default"/>
      </items>
    </pivotField>
    <pivotField showAll="0"/>
    <pivotField axis="axisCol" showAll="0">
      <items count="4">
        <item h="1" x="1"/>
        <item x="0"/>
        <item h="1" x="2"/>
        <item t="default"/>
      </items>
    </pivotField>
    <pivotField showAll="0"/>
    <pivotField numFmtId="10" showAll="0"/>
    <pivotField numFmtId="10" showAll="0"/>
  </pivotFields>
  <rowFields count="1">
    <field x="0"/>
  </rowFields>
  <rowItems count="15">
    <i>
      <x v="1"/>
    </i>
    <i>
      <x v="3"/>
    </i>
    <i>
      <x v="7"/>
    </i>
    <i>
      <x v="10"/>
    </i>
    <i>
      <x v="16"/>
    </i>
    <i>
      <x v="19"/>
    </i>
    <i>
      <x v="21"/>
    </i>
    <i>
      <x v="26"/>
    </i>
    <i>
      <x v="28"/>
    </i>
    <i>
      <x v="30"/>
    </i>
    <i>
      <x v="31"/>
    </i>
    <i>
      <x v="32"/>
    </i>
    <i>
      <x v="35"/>
    </i>
    <i>
      <x v="37"/>
    </i>
    <i t="grand">
      <x/>
    </i>
  </rowItems>
  <colFields count="1">
    <field x="22"/>
  </colFields>
  <colItems count="2">
    <i>
      <x v="1"/>
    </i>
    <i t="grand">
      <x/>
    </i>
  </colItems>
  <dataFields count="1">
    <dataField name="Count of Country" fld="0" subtotal="count" baseField="0" baseItem="0"/>
  </dataFields>
  <chartFormats count="24">
    <chartFormat chart="41" format="0" series="1">
      <pivotArea type="data" outline="0" fieldPosition="0">
        <references count="2">
          <reference field="4294967294" count="1" selected="0">
            <x v="0"/>
          </reference>
          <reference field="22" count="1" selected="0">
            <x v="0"/>
          </reference>
        </references>
      </pivotArea>
    </chartFormat>
    <chartFormat chart="47" format="20" series="1">
      <pivotArea type="data" outline="0" fieldPosition="0">
        <references count="2">
          <reference field="4294967294" count="1" selected="0">
            <x v="0"/>
          </reference>
          <reference field="22" count="1" selected="0">
            <x v="0"/>
          </reference>
        </references>
      </pivotArea>
    </chartFormat>
    <chartFormat chart="47" format="21">
      <pivotArea type="data" outline="0" fieldPosition="0">
        <references count="3">
          <reference field="4294967294" count="1" selected="0">
            <x v="0"/>
          </reference>
          <reference field="0" count="1" selected="0">
            <x v="4"/>
          </reference>
          <reference field="22" count="1" selected="0">
            <x v="0"/>
          </reference>
        </references>
      </pivotArea>
    </chartFormat>
    <chartFormat chart="47" format="22">
      <pivotArea type="data" outline="0" fieldPosition="0">
        <references count="3">
          <reference field="4294967294" count="1" selected="0">
            <x v="0"/>
          </reference>
          <reference field="0" count="1" selected="0">
            <x v="5"/>
          </reference>
          <reference field="22" count="1" selected="0">
            <x v="0"/>
          </reference>
        </references>
      </pivotArea>
    </chartFormat>
    <chartFormat chart="47" format="23">
      <pivotArea type="data" outline="0" fieldPosition="0">
        <references count="3">
          <reference field="4294967294" count="1" selected="0">
            <x v="0"/>
          </reference>
          <reference field="0" count="1" selected="0">
            <x v="6"/>
          </reference>
          <reference field="22" count="1" selected="0">
            <x v="0"/>
          </reference>
        </references>
      </pivotArea>
    </chartFormat>
    <chartFormat chart="47" format="24">
      <pivotArea type="data" outline="0" fieldPosition="0">
        <references count="3">
          <reference field="4294967294" count="1" selected="0">
            <x v="0"/>
          </reference>
          <reference field="0" count="1" selected="0">
            <x v="9"/>
          </reference>
          <reference field="22" count="1" selected="0">
            <x v="0"/>
          </reference>
        </references>
      </pivotArea>
    </chartFormat>
    <chartFormat chart="47" format="25">
      <pivotArea type="data" outline="0" fieldPosition="0">
        <references count="3">
          <reference field="4294967294" count="1" selected="0">
            <x v="0"/>
          </reference>
          <reference field="0" count="1" selected="0">
            <x v="11"/>
          </reference>
          <reference field="22" count="1" selected="0">
            <x v="0"/>
          </reference>
        </references>
      </pivotArea>
    </chartFormat>
    <chartFormat chart="47" format="26">
      <pivotArea type="data" outline="0" fieldPosition="0">
        <references count="3">
          <reference field="4294967294" count="1" selected="0">
            <x v="0"/>
          </reference>
          <reference field="0" count="1" selected="0">
            <x v="12"/>
          </reference>
          <reference field="22" count="1" selected="0">
            <x v="0"/>
          </reference>
        </references>
      </pivotArea>
    </chartFormat>
    <chartFormat chart="47" format="27">
      <pivotArea type="data" outline="0" fieldPosition="0">
        <references count="3">
          <reference field="4294967294" count="1" selected="0">
            <x v="0"/>
          </reference>
          <reference field="0" count="1" selected="0">
            <x v="13"/>
          </reference>
          <reference field="22" count="1" selected="0">
            <x v="0"/>
          </reference>
        </references>
      </pivotArea>
    </chartFormat>
    <chartFormat chart="47" format="28">
      <pivotArea type="data" outline="0" fieldPosition="0">
        <references count="3">
          <reference field="4294967294" count="1" selected="0">
            <x v="0"/>
          </reference>
          <reference field="0" count="1" selected="0">
            <x v="14"/>
          </reference>
          <reference field="22" count="1" selected="0">
            <x v="0"/>
          </reference>
        </references>
      </pivotArea>
    </chartFormat>
    <chartFormat chart="47" format="29">
      <pivotArea type="data" outline="0" fieldPosition="0">
        <references count="3">
          <reference field="4294967294" count="1" selected="0">
            <x v="0"/>
          </reference>
          <reference field="0" count="1" selected="0">
            <x v="15"/>
          </reference>
          <reference field="22" count="1" selected="0">
            <x v="0"/>
          </reference>
        </references>
      </pivotArea>
    </chartFormat>
    <chartFormat chart="47" format="30">
      <pivotArea type="data" outline="0" fieldPosition="0">
        <references count="3">
          <reference field="4294967294" count="1" selected="0">
            <x v="0"/>
          </reference>
          <reference field="0" count="1" selected="0">
            <x v="17"/>
          </reference>
          <reference field="22" count="1" selected="0">
            <x v="0"/>
          </reference>
        </references>
      </pivotArea>
    </chartFormat>
    <chartFormat chart="47" format="31">
      <pivotArea type="data" outline="0" fieldPosition="0">
        <references count="3">
          <reference field="4294967294" count="1" selected="0">
            <x v="0"/>
          </reference>
          <reference field="0" count="1" selected="0">
            <x v="18"/>
          </reference>
          <reference field="22" count="1" selected="0">
            <x v="0"/>
          </reference>
        </references>
      </pivotArea>
    </chartFormat>
    <chartFormat chart="47" format="32">
      <pivotArea type="data" outline="0" fieldPosition="0">
        <references count="3">
          <reference field="4294967294" count="1" selected="0">
            <x v="0"/>
          </reference>
          <reference field="0" count="1" selected="0">
            <x v="22"/>
          </reference>
          <reference field="22" count="1" selected="0">
            <x v="0"/>
          </reference>
        </references>
      </pivotArea>
    </chartFormat>
    <chartFormat chart="47" format="33">
      <pivotArea type="data" outline="0" fieldPosition="0">
        <references count="3">
          <reference field="4294967294" count="1" selected="0">
            <x v="0"/>
          </reference>
          <reference field="0" count="1" selected="0">
            <x v="23"/>
          </reference>
          <reference field="22" count="1" selected="0">
            <x v="0"/>
          </reference>
        </references>
      </pivotArea>
    </chartFormat>
    <chartFormat chart="47" format="34">
      <pivotArea type="data" outline="0" fieldPosition="0">
        <references count="3">
          <reference field="4294967294" count="1" selected="0">
            <x v="0"/>
          </reference>
          <reference field="0" count="1" selected="0">
            <x v="25"/>
          </reference>
          <reference field="22" count="1" selected="0">
            <x v="0"/>
          </reference>
        </references>
      </pivotArea>
    </chartFormat>
    <chartFormat chart="47" format="35">
      <pivotArea type="data" outline="0" fieldPosition="0">
        <references count="3">
          <reference field="4294967294" count="1" selected="0">
            <x v="0"/>
          </reference>
          <reference field="0" count="1" selected="0">
            <x v="29"/>
          </reference>
          <reference field="22" count="1" selected="0">
            <x v="0"/>
          </reference>
        </references>
      </pivotArea>
    </chartFormat>
    <chartFormat chart="47" format="36">
      <pivotArea type="data" outline="0" fieldPosition="0">
        <references count="3">
          <reference field="4294967294" count="1" selected="0">
            <x v="0"/>
          </reference>
          <reference field="0" count="1" selected="0">
            <x v="33"/>
          </reference>
          <reference field="22" count="1" selected="0">
            <x v="0"/>
          </reference>
        </references>
      </pivotArea>
    </chartFormat>
    <chartFormat chart="47" format="37">
      <pivotArea type="data" outline="0" fieldPosition="0">
        <references count="3">
          <reference field="4294967294" count="1" selected="0">
            <x v="0"/>
          </reference>
          <reference field="0" count="1" selected="0">
            <x v="36"/>
          </reference>
          <reference field="22" count="1" selected="0">
            <x v="0"/>
          </reference>
        </references>
      </pivotArea>
    </chartFormat>
    <chartFormat chart="47" format="38">
      <pivotArea type="data" outline="0" fieldPosition="0">
        <references count="3">
          <reference field="4294967294" count="1" selected="0">
            <x v="0"/>
          </reference>
          <reference field="0" count="1" selected="0">
            <x v="38"/>
          </reference>
          <reference field="22" count="1" selected="0">
            <x v="0"/>
          </reference>
        </references>
      </pivotArea>
    </chartFormat>
    <chartFormat chart="47" format="39" series="1">
      <pivotArea type="data" outline="0" fieldPosition="0">
        <references count="2">
          <reference field="4294967294" count="1" selected="0">
            <x v="0"/>
          </reference>
          <reference field="22" count="1" selected="0">
            <x v="2"/>
          </reference>
        </references>
      </pivotArea>
    </chartFormat>
    <chartFormat chart="41" format="1" series="1">
      <pivotArea type="data" outline="0" fieldPosition="0">
        <references count="2">
          <reference field="4294967294" count="1" selected="0">
            <x v="0"/>
          </reference>
          <reference field="22" count="1" selected="0">
            <x v="2"/>
          </reference>
        </references>
      </pivotArea>
    </chartFormat>
    <chartFormat chart="47" format="40" series="1">
      <pivotArea type="data" outline="0" fieldPosition="0">
        <references count="2">
          <reference field="4294967294" count="1" selected="0">
            <x v="0"/>
          </reference>
          <reference field="22" count="1" selected="0">
            <x v="1"/>
          </reference>
        </references>
      </pivotArea>
    </chartFormat>
    <chartFormat chart="41" format="2" series="1">
      <pivotArea type="data" outline="0" fieldPosition="0">
        <references count="2">
          <reference field="4294967294" count="1" selected="0">
            <x v="0"/>
          </reference>
          <reference field="2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DCEEF83-9B12-C945-B34B-329FA12E6CEF}" name="PivotTable22"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4">
  <location ref="GD29:GE30" firstHeaderRow="0" firstDataRow="1" firstDataCol="0"/>
  <pivotFields count="26">
    <pivotField dataField="1" showAll="0">
      <items count="40">
        <item x="33"/>
        <item x="9"/>
        <item x="8"/>
        <item x="7"/>
        <item x="32"/>
        <item x="1"/>
        <item x="34"/>
        <item x="19"/>
        <item x="30"/>
        <item x="5"/>
        <item x="3"/>
        <item x="21"/>
        <item x="6"/>
        <item x="23"/>
        <item x="38"/>
        <item x="13"/>
        <item x="2"/>
        <item x="25"/>
        <item x="12"/>
        <item x="15"/>
        <item x="31"/>
        <item x="18"/>
        <item x="35"/>
        <item x="26"/>
        <item x="11"/>
        <item x="37"/>
        <item x="20"/>
        <item x="29"/>
        <item x="10"/>
        <item x="14"/>
        <item x="17"/>
        <item x="16"/>
        <item x="22"/>
        <item x="24"/>
        <item x="28"/>
        <item x="36"/>
        <item x="4"/>
        <item x="0"/>
        <item x="27"/>
        <item t="default"/>
      </items>
    </pivotField>
    <pivotField numFmtId="14" showAll="0">
      <items count="2">
        <item x="0"/>
        <item t="default"/>
      </items>
    </pivotField>
    <pivotField showAll="0"/>
    <pivotField showAll="0"/>
    <pivotField showAll="0"/>
    <pivotField showAll="0"/>
    <pivotField showAll="0">
      <items count="30">
        <item x="11"/>
        <item x="26"/>
        <item x="3"/>
        <item x="15"/>
        <item x="13"/>
        <item x="17"/>
        <item x="2"/>
        <item x="4"/>
        <item x="16"/>
        <item x="5"/>
        <item x="9"/>
        <item x="18"/>
        <item x="28"/>
        <item x="8"/>
        <item x="12"/>
        <item x="14"/>
        <item x="19"/>
        <item x="0"/>
        <item x="7"/>
        <item x="10"/>
        <item x="20"/>
        <item x="21"/>
        <item x="27"/>
        <item x="23"/>
        <item x="22"/>
        <item x="1"/>
        <item x="24"/>
        <item x="25"/>
        <item x="6"/>
        <item t="default"/>
      </items>
    </pivotField>
    <pivotField showAll="0">
      <items count="31">
        <item x="29"/>
        <item x="21"/>
        <item x="1"/>
        <item x="12"/>
        <item x="14"/>
        <item x="15"/>
        <item x="18"/>
        <item x="19"/>
        <item x="16"/>
        <item x="4"/>
        <item x="20"/>
        <item x="3"/>
        <item x="5"/>
        <item x="9"/>
        <item x="2"/>
        <item x="0"/>
        <item x="17"/>
        <item x="13"/>
        <item x="22"/>
        <item x="8"/>
        <item x="23"/>
        <item x="7"/>
        <item x="11"/>
        <item x="6"/>
        <item x="28"/>
        <item x="10"/>
        <item x="26"/>
        <item x="25"/>
        <item x="24"/>
        <item x="27"/>
        <item t="default"/>
      </items>
    </pivotField>
    <pivotField showAll="0"/>
    <pivotField showAll="0"/>
    <pivotField showAll="0"/>
    <pivotField showAll="0"/>
    <pivotField showAll="0"/>
    <pivotField showAll="0"/>
    <pivotField showAll="0"/>
    <pivotField showAll="0"/>
    <pivotField showAll="0"/>
    <pivotField showAll="0"/>
    <pivotField showAll="0"/>
    <pivotField numFmtId="10" showAll="0"/>
    <pivotField showAll="0">
      <items count="15">
        <item x="7"/>
        <item x="10"/>
        <item x="1"/>
        <item x="2"/>
        <item x="8"/>
        <item x="0"/>
        <item x="12"/>
        <item x="11"/>
        <item x="4"/>
        <item x="5"/>
        <item x="6"/>
        <item x="3"/>
        <item x="9"/>
        <item x="13"/>
        <item t="default"/>
      </items>
    </pivotField>
    <pivotField dataField="1" showAll="0"/>
    <pivotField showAll="0"/>
    <pivotField showAll="0"/>
    <pivotField numFmtId="10" showAll="0"/>
    <pivotField numFmtId="10" showAll="0"/>
  </pivotFields>
  <rowItems count="1">
    <i/>
  </rowItems>
  <colFields count="1">
    <field x="-2"/>
  </colFields>
  <colItems count="2">
    <i>
      <x/>
    </i>
    <i i="1">
      <x v="1"/>
    </i>
  </colItems>
  <dataFields count="2">
    <dataField name="Count of Country" fld="0" subtotal="count" baseField="0" baseItem="0"/>
    <dataField name="Sum of Political_Risk_Score" fld="21" baseField="0" baseItem="0"/>
  </dataFields>
  <chartFormats count="7">
    <chartFormat chart="30" format="0" series="1">
      <pivotArea type="data" outline="0" fieldPosition="0">
        <references count="1">
          <reference field="4294967294" count="1" selected="0">
            <x v="0"/>
          </reference>
        </references>
      </pivotArea>
    </chartFormat>
    <chartFormat chart="34" format="1" series="1">
      <pivotArea type="data" outline="0" fieldPosition="0">
        <references count="1">
          <reference field="4294967294" count="1" selected="0">
            <x v="0"/>
          </reference>
        </references>
      </pivotArea>
    </chartFormat>
    <chartFormat chart="35" format="0" series="1">
      <pivotArea type="data" outline="0" fieldPosition="0">
        <references count="1">
          <reference field="4294967294" count="1" selected="0">
            <x v="0"/>
          </reference>
        </references>
      </pivotArea>
    </chartFormat>
    <chartFormat chart="38" format="0" series="1">
      <pivotArea type="data" outline="0" fieldPosition="0">
        <references count="1">
          <reference field="4294967294" count="1" selected="0">
            <x v="0"/>
          </reference>
        </references>
      </pivotArea>
    </chartFormat>
    <chartFormat chart="38" format="1" series="1">
      <pivotArea type="data" outline="0" fieldPosition="0">
        <references count="1">
          <reference field="4294967294" count="1" selected="0">
            <x v="1"/>
          </reference>
        </references>
      </pivotArea>
    </chartFormat>
    <chartFormat chart="42" format="4" series="1">
      <pivotArea type="data" outline="0" fieldPosition="0">
        <references count="1">
          <reference field="4294967294" count="1" selected="0">
            <x v="0"/>
          </reference>
        </references>
      </pivotArea>
    </chartFormat>
    <chartFormat chart="4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E4D7FEE-B27A-DD42-830D-9F7716AD4BF4}" name="PivotTable21"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0">
  <location ref="FG40:FH55" firstHeaderRow="1" firstDataRow="1" firstDataCol="1"/>
  <pivotFields count="26">
    <pivotField dataField="1" showAll="0">
      <items count="40">
        <item x="33"/>
        <item x="9"/>
        <item x="8"/>
        <item x="7"/>
        <item x="32"/>
        <item x="1"/>
        <item x="34"/>
        <item x="19"/>
        <item x="30"/>
        <item x="5"/>
        <item x="3"/>
        <item x="21"/>
        <item x="6"/>
        <item x="23"/>
        <item x="38"/>
        <item x="13"/>
        <item x="2"/>
        <item x="25"/>
        <item x="12"/>
        <item x="15"/>
        <item x="31"/>
        <item x="18"/>
        <item x="35"/>
        <item x="26"/>
        <item x="11"/>
        <item x="37"/>
        <item x="20"/>
        <item x="29"/>
        <item x="10"/>
        <item x="14"/>
        <item x="17"/>
        <item x="16"/>
        <item x="22"/>
        <item x="24"/>
        <item x="28"/>
        <item x="36"/>
        <item x="4"/>
        <item x="0"/>
        <item x="27"/>
        <item t="default"/>
      </items>
    </pivotField>
    <pivotField numFmtId="14" showAll="0">
      <items count="2">
        <item x="0"/>
        <item t="default"/>
      </items>
    </pivotField>
    <pivotField showAll="0"/>
    <pivotField showAll="0"/>
    <pivotField showAll="0"/>
    <pivotField showAll="0"/>
    <pivotField showAll="0">
      <items count="30">
        <item x="11"/>
        <item x="26"/>
        <item x="3"/>
        <item x="15"/>
        <item x="13"/>
        <item x="17"/>
        <item x="2"/>
        <item x="4"/>
        <item x="16"/>
        <item x="5"/>
        <item x="9"/>
        <item x="18"/>
        <item x="28"/>
        <item x="8"/>
        <item x="12"/>
        <item x="14"/>
        <item x="19"/>
        <item x="0"/>
        <item x="7"/>
        <item x="10"/>
        <item x="20"/>
        <item x="21"/>
        <item x="27"/>
        <item x="23"/>
        <item x="22"/>
        <item x="1"/>
        <item x="24"/>
        <item x="25"/>
        <item x="6"/>
        <item t="default"/>
      </items>
    </pivotField>
    <pivotField showAll="0">
      <items count="31">
        <item x="29"/>
        <item x="21"/>
        <item x="1"/>
        <item x="12"/>
        <item x="14"/>
        <item x="15"/>
        <item x="18"/>
        <item x="19"/>
        <item x="16"/>
        <item x="4"/>
        <item x="20"/>
        <item x="3"/>
        <item x="5"/>
        <item x="9"/>
        <item x="2"/>
        <item x="0"/>
        <item x="17"/>
        <item x="13"/>
        <item x="22"/>
        <item x="8"/>
        <item x="23"/>
        <item x="7"/>
        <item x="11"/>
        <item x="6"/>
        <item x="28"/>
        <item x="10"/>
        <item x="26"/>
        <item x="25"/>
        <item x="24"/>
        <item x="27"/>
        <item t="default"/>
      </items>
    </pivotField>
    <pivotField showAll="0"/>
    <pivotField showAll="0"/>
    <pivotField showAll="0"/>
    <pivotField showAll="0"/>
    <pivotField showAll="0"/>
    <pivotField showAll="0"/>
    <pivotField showAll="0"/>
    <pivotField showAll="0"/>
    <pivotField showAll="0"/>
    <pivotField showAll="0"/>
    <pivotField showAll="0"/>
    <pivotField numFmtId="10" showAll="0"/>
    <pivotField axis="axisRow" showAll="0">
      <items count="15">
        <item x="7"/>
        <item x="10"/>
        <item x="1"/>
        <item x="2"/>
        <item x="8"/>
        <item x="0"/>
        <item x="12"/>
        <item x="11"/>
        <item x="4"/>
        <item x="5"/>
        <item x="6"/>
        <item x="3"/>
        <item x="9"/>
        <item x="13"/>
        <item t="default"/>
      </items>
    </pivotField>
    <pivotField showAll="0"/>
    <pivotField showAll="0"/>
    <pivotField showAll="0"/>
    <pivotField numFmtId="10" showAll="0"/>
    <pivotField numFmtId="10" showAll="0"/>
  </pivotFields>
  <rowFields count="1">
    <field x="20"/>
  </rowFields>
  <rowItems count="15">
    <i>
      <x/>
    </i>
    <i>
      <x v="1"/>
    </i>
    <i>
      <x v="2"/>
    </i>
    <i>
      <x v="3"/>
    </i>
    <i>
      <x v="4"/>
    </i>
    <i>
      <x v="5"/>
    </i>
    <i>
      <x v="6"/>
    </i>
    <i>
      <x v="7"/>
    </i>
    <i>
      <x v="8"/>
    </i>
    <i>
      <x v="9"/>
    </i>
    <i>
      <x v="10"/>
    </i>
    <i>
      <x v="11"/>
    </i>
    <i>
      <x v="12"/>
    </i>
    <i>
      <x v="13"/>
    </i>
    <i t="grand">
      <x/>
    </i>
  </rowItems>
  <colItems count="1">
    <i/>
  </colItems>
  <dataFields count="1">
    <dataField name="Count of Country" fld="0" subtotal="count" baseField="0" baseItem="0"/>
  </dataFields>
  <chartFormats count="2">
    <chartFormat chart="35" format="0" series="1">
      <pivotArea type="data" outline="0" fieldPosition="0">
        <references count="1">
          <reference field="4294967294" count="1" selected="0">
            <x v="0"/>
          </reference>
        </references>
      </pivotArea>
    </chartFormat>
    <chartFormat chart="3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A39F8F5-95C4-394A-9E8C-1909EB6BCECD}" name="PivotTable20"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2">
  <location ref="EY52:FA54" firstHeaderRow="0" firstDataRow="1" firstDataCol="1"/>
  <pivotFields count="26">
    <pivotField showAll="0">
      <items count="40">
        <item x="33"/>
        <item x="9"/>
        <item x="8"/>
        <item x="7"/>
        <item x="32"/>
        <item x="1"/>
        <item x="34"/>
        <item x="19"/>
        <item x="30"/>
        <item x="5"/>
        <item x="3"/>
        <item x="21"/>
        <item x="6"/>
        <item x="23"/>
        <item x="38"/>
        <item x="13"/>
        <item x="2"/>
        <item x="25"/>
        <item x="12"/>
        <item x="15"/>
        <item x="31"/>
        <item x="18"/>
        <item x="35"/>
        <item x="26"/>
        <item x="11"/>
        <item x="37"/>
        <item x="20"/>
        <item x="29"/>
        <item x="10"/>
        <item x="14"/>
        <item x="17"/>
        <item x="16"/>
        <item x="22"/>
        <item x="24"/>
        <item x="28"/>
        <item x="36"/>
        <item x="4"/>
        <item x="0"/>
        <item x="27"/>
        <item t="default"/>
      </items>
    </pivotField>
    <pivotField axis="axisRow" numFmtId="14" showAll="0">
      <items count="2">
        <item x="0"/>
        <item t="default"/>
      </items>
    </pivotField>
    <pivotField showAll="0"/>
    <pivotField showAll="0"/>
    <pivotField showAll="0"/>
    <pivotField showAll="0"/>
    <pivotField showAll="0">
      <items count="30">
        <item x="11"/>
        <item x="26"/>
        <item x="3"/>
        <item x="15"/>
        <item x="13"/>
        <item x="17"/>
        <item x="2"/>
        <item x="4"/>
        <item x="16"/>
        <item x="5"/>
        <item x="9"/>
        <item x="18"/>
        <item x="28"/>
        <item x="8"/>
        <item x="12"/>
        <item x="14"/>
        <item x="19"/>
        <item x="0"/>
        <item x="7"/>
        <item x="10"/>
        <item x="20"/>
        <item x="21"/>
        <item x="27"/>
        <item x="23"/>
        <item x="22"/>
        <item x="1"/>
        <item x="24"/>
        <item x="25"/>
        <item x="6"/>
        <item t="default"/>
      </items>
    </pivotField>
    <pivotField showAll="0">
      <items count="31">
        <item x="29"/>
        <item x="21"/>
        <item x="1"/>
        <item x="12"/>
        <item x="14"/>
        <item x="15"/>
        <item x="18"/>
        <item x="19"/>
        <item x="16"/>
        <item x="4"/>
        <item x="20"/>
        <item x="3"/>
        <item x="5"/>
        <item x="9"/>
        <item x="2"/>
        <item x="0"/>
        <item x="17"/>
        <item x="13"/>
        <item x="22"/>
        <item x="8"/>
        <item x="23"/>
        <item x="7"/>
        <item x="11"/>
        <item x="6"/>
        <item x="28"/>
        <item x="10"/>
        <item x="26"/>
        <item x="25"/>
        <item x="24"/>
        <item x="27"/>
        <item t="default"/>
      </items>
    </pivotField>
    <pivotField showAll="0"/>
    <pivotField showAll="0"/>
    <pivotField showAll="0"/>
    <pivotField showAll="0"/>
    <pivotField showAll="0"/>
    <pivotField showAll="0"/>
    <pivotField showAll="0"/>
    <pivotField showAll="0"/>
    <pivotField showAll="0"/>
    <pivotField dataField="1" showAll="0"/>
    <pivotField dataField="1" showAll="0"/>
    <pivotField numFmtId="10" showAll="0"/>
    <pivotField showAll="0"/>
    <pivotField showAll="0"/>
    <pivotField showAll="0"/>
    <pivotField showAll="0"/>
    <pivotField numFmtId="10" showAll="0"/>
    <pivotField numFmtId="10" showAll="0"/>
  </pivotFields>
  <rowFields count="1">
    <field x="1"/>
  </rowFields>
  <rowItems count="2">
    <i>
      <x/>
    </i>
    <i t="grand">
      <x/>
    </i>
  </rowItems>
  <colFields count="1">
    <field x="-2"/>
  </colFields>
  <colItems count="2">
    <i>
      <x/>
    </i>
    <i i="1">
      <x v="1"/>
    </i>
  </colItems>
  <dataFields count="2">
    <dataField name="Sum of Oil_Price_USD_Barrel" fld="17" baseField="0" baseItem="0"/>
    <dataField name="Sum of Gold_Price_USD_Ounce" fld="18" baseField="0" baseItem="0"/>
  </dataFields>
  <chartFormats count="4">
    <chartFormat chart="29" format="0" series="1">
      <pivotArea type="data" outline="0" fieldPosition="0">
        <references count="1">
          <reference field="4294967294" count="1" selected="0">
            <x v="0"/>
          </reference>
        </references>
      </pivotArea>
    </chartFormat>
    <chartFormat chart="29" format="1" series="1">
      <pivotArea type="data" outline="0" fieldPosition="0">
        <references count="1">
          <reference field="4294967294" count="1" selected="0">
            <x v="1"/>
          </reference>
        </references>
      </pivotArea>
    </chartFormat>
    <chartFormat chart="31" format="4" series="1">
      <pivotArea type="data" outline="0" fieldPosition="0">
        <references count="1">
          <reference field="4294967294" count="1" selected="0">
            <x v="0"/>
          </reference>
        </references>
      </pivotArea>
    </chartFormat>
    <chartFormat chart="31"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62CE0B7-2B88-3946-9B4D-967F2C7EF083}" name="PivotTable19"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1">
  <location ref="DX18:FL21" firstHeaderRow="1" firstDataRow="2" firstDataCol="1"/>
  <pivotFields count="26">
    <pivotField axis="axisCol" showAll="0">
      <items count="40">
        <item x="33"/>
        <item x="9"/>
        <item x="8"/>
        <item x="7"/>
        <item x="32"/>
        <item x="1"/>
        <item x="34"/>
        <item x="19"/>
        <item x="30"/>
        <item x="5"/>
        <item x="3"/>
        <item x="21"/>
        <item x="6"/>
        <item x="23"/>
        <item x="38"/>
        <item x="13"/>
        <item x="2"/>
        <item x="25"/>
        <item x="12"/>
        <item x="15"/>
        <item x="31"/>
        <item x="18"/>
        <item x="35"/>
        <item x="26"/>
        <item x="11"/>
        <item x="37"/>
        <item x="20"/>
        <item x="29"/>
        <item x="10"/>
        <item x="14"/>
        <item x="17"/>
        <item x="16"/>
        <item x="22"/>
        <item x="24"/>
        <item x="28"/>
        <item x="36"/>
        <item x="4"/>
        <item x="0"/>
        <item x="27"/>
        <item t="default"/>
      </items>
    </pivotField>
    <pivotField axis="axisRow" numFmtId="14" showAll="0">
      <items count="2">
        <item x="0"/>
        <item t="default"/>
      </items>
    </pivotField>
    <pivotField showAll="0"/>
    <pivotField showAll="0"/>
    <pivotField showAll="0"/>
    <pivotField showAll="0"/>
    <pivotField showAll="0">
      <items count="30">
        <item x="11"/>
        <item x="26"/>
        <item x="3"/>
        <item x="15"/>
        <item x="13"/>
        <item x="17"/>
        <item x="2"/>
        <item x="4"/>
        <item x="16"/>
        <item x="5"/>
        <item x="9"/>
        <item x="18"/>
        <item x="28"/>
        <item x="8"/>
        <item x="12"/>
        <item x="14"/>
        <item x="19"/>
        <item x="0"/>
        <item x="7"/>
        <item x="10"/>
        <item x="20"/>
        <item x="21"/>
        <item x="27"/>
        <item x="23"/>
        <item x="22"/>
        <item x="1"/>
        <item x="24"/>
        <item x="25"/>
        <item x="6"/>
        <item t="default"/>
      </items>
    </pivotField>
    <pivotField showAll="0">
      <items count="31">
        <item x="29"/>
        <item x="21"/>
        <item x="1"/>
        <item x="12"/>
        <item x="14"/>
        <item x="15"/>
        <item x="18"/>
        <item x="19"/>
        <item x="16"/>
        <item x="4"/>
        <item x="20"/>
        <item x="3"/>
        <item x="5"/>
        <item x="9"/>
        <item x="2"/>
        <item x="0"/>
        <item x="17"/>
        <item x="13"/>
        <item x="22"/>
        <item x="8"/>
        <item x="23"/>
        <item x="7"/>
        <item x="11"/>
        <item x="6"/>
        <item x="28"/>
        <item x="10"/>
        <item x="26"/>
        <item x="25"/>
        <item x="24"/>
        <item x="27"/>
        <item t="default"/>
      </items>
    </pivotField>
    <pivotField showAll="0"/>
    <pivotField showAll="0"/>
    <pivotField showAll="0"/>
    <pivotField showAll="0"/>
    <pivotField showAll="0"/>
    <pivotField showAll="0"/>
    <pivotField dataField="1" showAll="0"/>
    <pivotField showAll="0"/>
    <pivotField showAll="0"/>
    <pivotField showAll="0"/>
    <pivotField showAll="0"/>
    <pivotField numFmtId="10" showAll="0"/>
    <pivotField showAll="0"/>
    <pivotField showAll="0"/>
    <pivotField showAll="0"/>
    <pivotField showAll="0"/>
    <pivotField numFmtId="10" showAll="0"/>
    <pivotField numFmtId="10" showAll="0"/>
  </pivotFields>
  <rowFields count="1">
    <field x="1"/>
  </rowFields>
  <rowItems count="2">
    <i>
      <x/>
    </i>
    <i t="grand">
      <x/>
    </i>
  </rowItems>
  <colFields count="1">
    <field x="0"/>
  </colFields>
  <colItems count="4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t="grand">
      <x/>
    </i>
  </colItems>
  <dataFields count="1">
    <dataField name="Sum of Current_Account_Balance_Billion_USD" fld="14" baseField="0" baseItem="0"/>
  </dataFields>
  <chartFormats count="79">
    <chartFormat chart="26" format="0" series="1">
      <pivotArea type="data" outline="0" fieldPosition="0">
        <references count="2">
          <reference field="4294967294" count="1" selected="0">
            <x v="0"/>
          </reference>
          <reference field="0" count="1" selected="0">
            <x v="0"/>
          </reference>
        </references>
      </pivotArea>
    </chartFormat>
    <chartFormat chart="26" format="1" series="1">
      <pivotArea type="data" outline="0" fieldPosition="0">
        <references count="2">
          <reference field="4294967294" count="1" selected="0">
            <x v="0"/>
          </reference>
          <reference field="0" count="1" selected="0">
            <x v="1"/>
          </reference>
        </references>
      </pivotArea>
    </chartFormat>
    <chartFormat chart="26" format="2" series="1">
      <pivotArea type="data" outline="0" fieldPosition="0">
        <references count="2">
          <reference field="4294967294" count="1" selected="0">
            <x v="0"/>
          </reference>
          <reference field="0" count="1" selected="0">
            <x v="2"/>
          </reference>
        </references>
      </pivotArea>
    </chartFormat>
    <chartFormat chart="26" format="3" series="1">
      <pivotArea type="data" outline="0" fieldPosition="0">
        <references count="2">
          <reference field="4294967294" count="1" selected="0">
            <x v="0"/>
          </reference>
          <reference field="0" count="1" selected="0">
            <x v="3"/>
          </reference>
        </references>
      </pivotArea>
    </chartFormat>
    <chartFormat chart="26" format="4" series="1">
      <pivotArea type="data" outline="0" fieldPosition="0">
        <references count="2">
          <reference field="4294967294" count="1" selected="0">
            <x v="0"/>
          </reference>
          <reference field="0" count="1" selected="0">
            <x v="4"/>
          </reference>
        </references>
      </pivotArea>
    </chartFormat>
    <chartFormat chart="26" format="5" series="1">
      <pivotArea type="data" outline="0" fieldPosition="0">
        <references count="2">
          <reference field="4294967294" count="1" selected="0">
            <x v="0"/>
          </reference>
          <reference field="0" count="1" selected="0">
            <x v="5"/>
          </reference>
        </references>
      </pivotArea>
    </chartFormat>
    <chartFormat chart="26" format="6" series="1">
      <pivotArea type="data" outline="0" fieldPosition="0">
        <references count="2">
          <reference field="4294967294" count="1" selected="0">
            <x v="0"/>
          </reference>
          <reference field="0" count="1" selected="0">
            <x v="6"/>
          </reference>
        </references>
      </pivotArea>
    </chartFormat>
    <chartFormat chart="26" format="7" series="1">
      <pivotArea type="data" outline="0" fieldPosition="0">
        <references count="2">
          <reference field="4294967294" count="1" selected="0">
            <x v="0"/>
          </reference>
          <reference field="0" count="1" selected="0">
            <x v="7"/>
          </reference>
        </references>
      </pivotArea>
    </chartFormat>
    <chartFormat chart="26" format="8" series="1">
      <pivotArea type="data" outline="0" fieldPosition="0">
        <references count="2">
          <reference field="4294967294" count="1" selected="0">
            <x v="0"/>
          </reference>
          <reference field="0" count="1" selected="0">
            <x v="8"/>
          </reference>
        </references>
      </pivotArea>
    </chartFormat>
    <chartFormat chart="26" format="9" series="1">
      <pivotArea type="data" outline="0" fieldPosition="0">
        <references count="2">
          <reference field="4294967294" count="1" selected="0">
            <x v="0"/>
          </reference>
          <reference field="0" count="1" selected="0">
            <x v="9"/>
          </reference>
        </references>
      </pivotArea>
    </chartFormat>
    <chartFormat chart="26" format="10" series="1">
      <pivotArea type="data" outline="0" fieldPosition="0">
        <references count="2">
          <reference field="4294967294" count="1" selected="0">
            <x v="0"/>
          </reference>
          <reference field="0" count="1" selected="0">
            <x v="10"/>
          </reference>
        </references>
      </pivotArea>
    </chartFormat>
    <chartFormat chart="26" format="11" series="1">
      <pivotArea type="data" outline="0" fieldPosition="0">
        <references count="2">
          <reference field="4294967294" count="1" selected="0">
            <x v="0"/>
          </reference>
          <reference field="0" count="1" selected="0">
            <x v="11"/>
          </reference>
        </references>
      </pivotArea>
    </chartFormat>
    <chartFormat chart="26" format="12" series="1">
      <pivotArea type="data" outline="0" fieldPosition="0">
        <references count="2">
          <reference field="4294967294" count="1" selected="0">
            <x v="0"/>
          </reference>
          <reference field="0" count="1" selected="0">
            <x v="12"/>
          </reference>
        </references>
      </pivotArea>
    </chartFormat>
    <chartFormat chart="26" format="13" series="1">
      <pivotArea type="data" outline="0" fieldPosition="0">
        <references count="2">
          <reference field="4294967294" count="1" selected="0">
            <x v="0"/>
          </reference>
          <reference field="0" count="1" selected="0">
            <x v="13"/>
          </reference>
        </references>
      </pivotArea>
    </chartFormat>
    <chartFormat chart="26" format="14" series="1">
      <pivotArea type="data" outline="0" fieldPosition="0">
        <references count="2">
          <reference field="4294967294" count="1" selected="0">
            <x v="0"/>
          </reference>
          <reference field="0" count="1" selected="0">
            <x v="14"/>
          </reference>
        </references>
      </pivotArea>
    </chartFormat>
    <chartFormat chart="26" format="15" series="1">
      <pivotArea type="data" outline="0" fieldPosition="0">
        <references count="2">
          <reference field="4294967294" count="1" selected="0">
            <x v="0"/>
          </reference>
          <reference field="0" count="1" selected="0">
            <x v="15"/>
          </reference>
        </references>
      </pivotArea>
    </chartFormat>
    <chartFormat chart="26" format="16" series="1">
      <pivotArea type="data" outline="0" fieldPosition="0">
        <references count="2">
          <reference field="4294967294" count="1" selected="0">
            <x v="0"/>
          </reference>
          <reference field="0" count="1" selected="0">
            <x v="16"/>
          </reference>
        </references>
      </pivotArea>
    </chartFormat>
    <chartFormat chart="26" format="17" series="1">
      <pivotArea type="data" outline="0" fieldPosition="0">
        <references count="2">
          <reference field="4294967294" count="1" selected="0">
            <x v="0"/>
          </reference>
          <reference field="0" count="1" selected="0">
            <x v="17"/>
          </reference>
        </references>
      </pivotArea>
    </chartFormat>
    <chartFormat chart="26" format="18" series="1">
      <pivotArea type="data" outline="0" fieldPosition="0">
        <references count="2">
          <reference field="4294967294" count="1" selected="0">
            <x v="0"/>
          </reference>
          <reference field="0" count="1" selected="0">
            <x v="18"/>
          </reference>
        </references>
      </pivotArea>
    </chartFormat>
    <chartFormat chart="26" format="19" series="1">
      <pivotArea type="data" outline="0" fieldPosition="0">
        <references count="2">
          <reference field="4294967294" count="1" selected="0">
            <x v="0"/>
          </reference>
          <reference field="0" count="1" selected="0">
            <x v="19"/>
          </reference>
        </references>
      </pivotArea>
    </chartFormat>
    <chartFormat chart="26" format="20" series="1">
      <pivotArea type="data" outline="0" fieldPosition="0">
        <references count="2">
          <reference field="4294967294" count="1" selected="0">
            <x v="0"/>
          </reference>
          <reference field="0" count="1" selected="0">
            <x v="20"/>
          </reference>
        </references>
      </pivotArea>
    </chartFormat>
    <chartFormat chart="26" format="21" series="1">
      <pivotArea type="data" outline="0" fieldPosition="0">
        <references count="2">
          <reference field="4294967294" count="1" selected="0">
            <x v="0"/>
          </reference>
          <reference field="0" count="1" selected="0">
            <x v="21"/>
          </reference>
        </references>
      </pivotArea>
    </chartFormat>
    <chartFormat chart="26" format="22" series="1">
      <pivotArea type="data" outline="0" fieldPosition="0">
        <references count="2">
          <reference field="4294967294" count="1" selected="0">
            <x v="0"/>
          </reference>
          <reference field="0" count="1" selected="0">
            <x v="22"/>
          </reference>
        </references>
      </pivotArea>
    </chartFormat>
    <chartFormat chart="26" format="23" series="1">
      <pivotArea type="data" outline="0" fieldPosition="0">
        <references count="2">
          <reference field="4294967294" count="1" selected="0">
            <x v="0"/>
          </reference>
          <reference field="0" count="1" selected="0">
            <x v="23"/>
          </reference>
        </references>
      </pivotArea>
    </chartFormat>
    <chartFormat chart="26" format="24" series="1">
      <pivotArea type="data" outline="0" fieldPosition="0">
        <references count="2">
          <reference field="4294967294" count="1" selected="0">
            <x v="0"/>
          </reference>
          <reference field="0" count="1" selected="0">
            <x v="24"/>
          </reference>
        </references>
      </pivotArea>
    </chartFormat>
    <chartFormat chart="26" format="25" series="1">
      <pivotArea type="data" outline="0" fieldPosition="0">
        <references count="2">
          <reference field="4294967294" count="1" selected="0">
            <x v="0"/>
          </reference>
          <reference field="0" count="1" selected="0">
            <x v="25"/>
          </reference>
        </references>
      </pivotArea>
    </chartFormat>
    <chartFormat chart="26" format="26" series="1">
      <pivotArea type="data" outline="0" fieldPosition="0">
        <references count="2">
          <reference field="4294967294" count="1" selected="0">
            <x v="0"/>
          </reference>
          <reference field="0" count="1" selected="0">
            <x v="26"/>
          </reference>
        </references>
      </pivotArea>
    </chartFormat>
    <chartFormat chart="26" format="27" series="1">
      <pivotArea type="data" outline="0" fieldPosition="0">
        <references count="2">
          <reference field="4294967294" count="1" selected="0">
            <x v="0"/>
          </reference>
          <reference field="0" count="1" selected="0">
            <x v="27"/>
          </reference>
        </references>
      </pivotArea>
    </chartFormat>
    <chartFormat chart="26" format="28" series="1">
      <pivotArea type="data" outline="0" fieldPosition="0">
        <references count="2">
          <reference field="4294967294" count="1" selected="0">
            <x v="0"/>
          </reference>
          <reference field="0" count="1" selected="0">
            <x v="28"/>
          </reference>
        </references>
      </pivotArea>
    </chartFormat>
    <chartFormat chart="26" format="29" series="1">
      <pivotArea type="data" outline="0" fieldPosition="0">
        <references count="2">
          <reference field="4294967294" count="1" selected="0">
            <x v="0"/>
          </reference>
          <reference field="0" count="1" selected="0">
            <x v="29"/>
          </reference>
        </references>
      </pivotArea>
    </chartFormat>
    <chartFormat chart="26" format="30" series="1">
      <pivotArea type="data" outline="0" fieldPosition="0">
        <references count="2">
          <reference field="4294967294" count="1" selected="0">
            <x v="0"/>
          </reference>
          <reference field="0" count="1" selected="0">
            <x v="30"/>
          </reference>
        </references>
      </pivotArea>
    </chartFormat>
    <chartFormat chart="26" format="31" series="1">
      <pivotArea type="data" outline="0" fieldPosition="0">
        <references count="2">
          <reference field="4294967294" count="1" selected="0">
            <x v="0"/>
          </reference>
          <reference field="0" count="1" selected="0">
            <x v="31"/>
          </reference>
        </references>
      </pivotArea>
    </chartFormat>
    <chartFormat chart="26" format="32" series="1">
      <pivotArea type="data" outline="0" fieldPosition="0">
        <references count="2">
          <reference field="4294967294" count="1" selected="0">
            <x v="0"/>
          </reference>
          <reference field="0" count="1" selected="0">
            <x v="32"/>
          </reference>
        </references>
      </pivotArea>
    </chartFormat>
    <chartFormat chart="26" format="33" series="1">
      <pivotArea type="data" outline="0" fieldPosition="0">
        <references count="2">
          <reference field="4294967294" count="1" selected="0">
            <x v="0"/>
          </reference>
          <reference field="0" count="1" selected="0">
            <x v="33"/>
          </reference>
        </references>
      </pivotArea>
    </chartFormat>
    <chartFormat chart="26" format="34" series="1">
      <pivotArea type="data" outline="0" fieldPosition="0">
        <references count="2">
          <reference field="4294967294" count="1" selected="0">
            <x v="0"/>
          </reference>
          <reference field="0" count="1" selected="0">
            <x v="34"/>
          </reference>
        </references>
      </pivotArea>
    </chartFormat>
    <chartFormat chart="26" format="35" series="1">
      <pivotArea type="data" outline="0" fieldPosition="0">
        <references count="2">
          <reference field="4294967294" count="1" selected="0">
            <x v="0"/>
          </reference>
          <reference field="0" count="1" selected="0">
            <x v="35"/>
          </reference>
        </references>
      </pivotArea>
    </chartFormat>
    <chartFormat chart="26" format="36" series="1">
      <pivotArea type="data" outline="0" fieldPosition="0">
        <references count="2">
          <reference field="4294967294" count="1" selected="0">
            <x v="0"/>
          </reference>
          <reference field="0" count="1" selected="0">
            <x v="36"/>
          </reference>
        </references>
      </pivotArea>
    </chartFormat>
    <chartFormat chart="26" format="37" series="1">
      <pivotArea type="data" outline="0" fieldPosition="0">
        <references count="2">
          <reference field="4294967294" count="1" selected="0">
            <x v="0"/>
          </reference>
          <reference field="0" count="1" selected="0">
            <x v="37"/>
          </reference>
        </references>
      </pivotArea>
    </chartFormat>
    <chartFormat chart="26" format="38" series="1">
      <pivotArea type="data" outline="0" fieldPosition="0">
        <references count="2">
          <reference field="4294967294" count="1" selected="0">
            <x v="0"/>
          </reference>
          <reference field="0" count="1" selected="0">
            <x v="38"/>
          </reference>
        </references>
      </pivotArea>
    </chartFormat>
    <chartFormat chart="26" format="39" series="1">
      <pivotArea type="data" outline="0" fieldPosition="0">
        <references count="1">
          <reference field="4294967294" count="1" selected="0">
            <x v="0"/>
          </reference>
        </references>
      </pivotArea>
    </chartFormat>
    <chartFormat chart="30" format="79" series="1">
      <pivotArea type="data" outline="0" fieldPosition="0">
        <references count="2">
          <reference field="4294967294" count="1" selected="0">
            <x v="0"/>
          </reference>
          <reference field="0" count="1" selected="0">
            <x v="0"/>
          </reference>
        </references>
      </pivotArea>
    </chartFormat>
    <chartFormat chart="30" format="80" series="1">
      <pivotArea type="data" outline="0" fieldPosition="0">
        <references count="2">
          <reference field="4294967294" count="1" selected="0">
            <x v="0"/>
          </reference>
          <reference field="0" count="1" selected="0">
            <x v="1"/>
          </reference>
        </references>
      </pivotArea>
    </chartFormat>
    <chartFormat chart="30" format="81" series="1">
      <pivotArea type="data" outline="0" fieldPosition="0">
        <references count="2">
          <reference field="4294967294" count="1" selected="0">
            <x v="0"/>
          </reference>
          <reference field="0" count="1" selected="0">
            <x v="2"/>
          </reference>
        </references>
      </pivotArea>
    </chartFormat>
    <chartFormat chart="30" format="82" series="1">
      <pivotArea type="data" outline="0" fieldPosition="0">
        <references count="2">
          <reference field="4294967294" count="1" selected="0">
            <x v="0"/>
          </reference>
          <reference field="0" count="1" selected="0">
            <x v="3"/>
          </reference>
        </references>
      </pivotArea>
    </chartFormat>
    <chartFormat chart="30" format="83" series="1">
      <pivotArea type="data" outline="0" fieldPosition="0">
        <references count="2">
          <reference field="4294967294" count="1" selected="0">
            <x v="0"/>
          </reference>
          <reference field="0" count="1" selected="0">
            <x v="4"/>
          </reference>
        </references>
      </pivotArea>
    </chartFormat>
    <chartFormat chart="30" format="84" series="1">
      <pivotArea type="data" outline="0" fieldPosition="0">
        <references count="2">
          <reference field="4294967294" count="1" selected="0">
            <x v="0"/>
          </reference>
          <reference field="0" count="1" selected="0">
            <x v="5"/>
          </reference>
        </references>
      </pivotArea>
    </chartFormat>
    <chartFormat chart="30" format="85" series="1">
      <pivotArea type="data" outline="0" fieldPosition="0">
        <references count="2">
          <reference field="4294967294" count="1" selected="0">
            <x v="0"/>
          </reference>
          <reference field="0" count="1" selected="0">
            <x v="6"/>
          </reference>
        </references>
      </pivotArea>
    </chartFormat>
    <chartFormat chart="30" format="86" series="1">
      <pivotArea type="data" outline="0" fieldPosition="0">
        <references count="2">
          <reference field="4294967294" count="1" selected="0">
            <x v="0"/>
          </reference>
          <reference field="0" count="1" selected="0">
            <x v="7"/>
          </reference>
        </references>
      </pivotArea>
    </chartFormat>
    <chartFormat chart="30" format="87" series="1">
      <pivotArea type="data" outline="0" fieldPosition="0">
        <references count="2">
          <reference field="4294967294" count="1" selected="0">
            <x v="0"/>
          </reference>
          <reference field="0" count="1" selected="0">
            <x v="8"/>
          </reference>
        </references>
      </pivotArea>
    </chartFormat>
    <chartFormat chart="30" format="88" series="1">
      <pivotArea type="data" outline="0" fieldPosition="0">
        <references count="2">
          <reference field="4294967294" count="1" selected="0">
            <x v="0"/>
          </reference>
          <reference field="0" count="1" selected="0">
            <x v="9"/>
          </reference>
        </references>
      </pivotArea>
    </chartFormat>
    <chartFormat chart="30" format="89" series="1">
      <pivotArea type="data" outline="0" fieldPosition="0">
        <references count="2">
          <reference field="4294967294" count="1" selected="0">
            <x v="0"/>
          </reference>
          <reference field="0" count="1" selected="0">
            <x v="10"/>
          </reference>
        </references>
      </pivotArea>
    </chartFormat>
    <chartFormat chart="30" format="90" series="1">
      <pivotArea type="data" outline="0" fieldPosition="0">
        <references count="2">
          <reference field="4294967294" count="1" selected="0">
            <x v="0"/>
          </reference>
          <reference field="0" count="1" selected="0">
            <x v="11"/>
          </reference>
        </references>
      </pivotArea>
    </chartFormat>
    <chartFormat chart="30" format="91" series="1">
      <pivotArea type="data" outline="0" fieldPosition="0">
        <references count="2">
          <reference field="4294967294" count="1" selected="0">
            <x v="0"/>
          </reference>
          <reference field="0" count="1" selected="0">
            <x v="12"/>
          </reference>
        </references>
      </pivotArea>
    </chartFormat>
    <chartFormat chart="30" format="92" series="1">
      <pivotArea type="data" outline="0" fieldPosition="0">
        <references count="2">
          <reference field="4294967294" count="1" selected="0">
            <x v="0"/>
          </reference>
          <reference field="0" count="1" selected="0">
            <x v="13"/>
          </reference>
        </references>
      </pivotArea>
    </chartFormat>
    <chartFormat chart="30" format="93" series="1">
      <pivotArea type="data" outline="0" fieldPosition="0">
        <references count="2">
          <reference field="4294967294" count="1" selected="0">
            <x v="0"/>
          </reference>
          <reference field="0" count="1" selected="0">
            <x v="14"/>
          </reference>
        </references>
      </pivotArea>
    </chartFormat>
    <chartFormat chart="30" format="94" series="1">
      <pivotArea type="data" outline="0" fieldPosition="0">
        <references count="2">
          <reference field="4294967294" count="1" selected="0">
            <x v="0"/>
          </reference>
          <reference field="0" count="1" selected="0">
            <x v="15"/>
          </reference>
        </references>
      </pivotArea>
    </chartFormat>
    <chartFormat chart="30" format="95" series="1">
      <pivotArea type="data" outline="0" fieldPosition="0">
        <references count="2">
          <reference field="4294967294" count="1" selected="0">
            <x v="0"/>
          </reference>
          <reference field="0" count="1" selected="0">
            <x v="16"/>
          </reference>
        </references>
      </pivotArea>
    </chartFormat>
    <chartFormat chart="30" format="96" series="1">
      <pivotArea type="data" outline="0" fieldPosition="0">
        <references count="2">
          <reference field="4294967294" count="1" selected="0">
            <x v="0"/>
          </reference>
          <reference field="0" count="1" selected="0">
            <x v="17"/>
          </reference>
        </references>
      </pivotArea>
    </chartFormat>
    <chartFormat chart="30" format="97" series="1">
      <pivotArea type="data" outline="0" fieldPosition="0">
        <references count="2">
          <reference field="4294967294" count="1" selected="0">
            <x v="0"/>
          </reference>
          <reference field="0" count="1" selected="0">
            <x v="18"/>
          </reference>
        </references>
      </pivotArea>
    </chartFormat>
    <chartFormat chart="30" format="98" series="1">
      <pivotArea type="data" outline="0" fieldPosition="0">
        <references count="2">
          <reference field="4294967294" count="1" selected="0">
            <x v="0"/>
          </reference>
          <reference field="0" count="1" selected="0">
            <x v="19"/>
          </reference>
        </references>
      </pivotArea>
    </chartFormat>
    <chartFormat chart="30" format="99" series="1">
      <pivotArea type="data" outline="0" fieldPosition="0">
        <references count="2">
          <reference field="4294967294" count="1" selected="0">
            <x v="0"/>
          </reference>
          <reference field="0" count="1" selected="0">
            <x v="20"/>
          </reference>
        </references>
      </pivotArea>
    </chartFormat>
    <chartFormat chart="30" format="100" series="1">
      <pivotArea type="data" outline="0" fieldPosition="0">
        <references count="2">
          <reference field="4294967294" count="1" selected="0">
            <x v="0"/>
          </reference>
          <reference field="0" count="1" selected="0">
            <x v="21"/>
          </reference>
        </references>
      </pivotArea>
    </chartFormat>
    <chartFormat chart="30" format="101" series="1">
      <pivotArea type="data" outline="0" fieldPosition="0">
        <references count="2">
          <reference field="4294967294" count="1" selected="0">
            <x v="0"/>
          </reference>
          <reference field="0" count="1" selected="0">
            <x v="22"/>
          </reference>
        </references>
      </pivotArea>
    </chartFormat>
    <chartFormat chart="30" format="102" series="1">
      <pivotArea type="data" outline="0" fieldPosition="0">
        <references count="2">
          <reference field="4294967294" count="1" selected="0">
            <x v="0"/>
          </reference>
          <reference field="0" count="1" selected="0">
            <x v="23"/>
          </reference>
        </references>
      </pivotArea>
    </chartFormat>
    <chartFormat chart="30" format="103" series="1">
      <pivotArea type="data" outline="0" fieldPosition="0">
        <references count="2">
          <reference field="4294967294" count="1" selected="0">
            <x v="0"/>
          </reference>
          <reference field="0" count="1" selected="0">
            <x v="24"/>
          </reference>
        </references>
      </pivotArea>
    </chartFormat>
    <chartFormat chart="30" format="104" series="1">
      <pivotArea type="data" outline="0" fieldPosition="0">
        <references count="2">
          <reference field="4294967294" count="1" selected="0">
            <x v="0"/>
          </reference>
          <reference field="0" count="1" selected="0">
            <x v="25"/>
          </reference>
        </references>
      </pivotArea>
    </chartFormat>
    <chartFormat chart="30" format="105" series="1">
      <pivotArea type="data" outline="0" fieldPosition="0">
        <references count="2">
          <reference field="4294967294" count="1" selected="0">
            <x v="0"/>
          </reference>
          <reference field="0" count="1" selected="0">
            <x v="26"/>
          </reference>
        </references>
      </pivotArea>
    </chartFormat>
    <chartFormat chart="30" format="106" series="1">
      <pivotArea type="data" outline="0" fieldPosition="0">
        <references count="2">
          <reference field="4294967294" count="1" selected="0">
            <x v="0"/>
          </reference>
          <reference field="0" count="1" selected="0">
            <x v="27"/>
          </reference>
        </references>
      </pivotArea>
    </chartFormat>
    <chartFormat chart="30" format="107" series="1">
      <pivotArea type="data" outline="0" fieldPosition="0">
        <references count="2">
          <reference field="4294967294" count="1" selected="0">
            <x v="0"/>
          </reference>
          <reference field="0" count="1" selected="0">
            <x v="28"/>
          </reference>
        </references>
      </pivotArea>
    </chartFormat>
    <chartFormat chart="30" format="108" series="1">
      <pivotArea type="data" outline="0" fieldPosition="0">
        <references count="2">
          <reference field="4294967294" count="1" selected="0">
            <x v="0"/>
          </reference>
          <reference field="0" count="1" selected="0">
            <x v="29"/>
          </reference>
        </references>
      </pivotArea>
    </chartFormat>
    <chartFormat chart="30" format="109" series="1">
      <pivotArea type="data" outline="0" fieldPosition="0">
        <references count="2">
          <reference field="4294967294" count="1" selected="0">
            <x v="0"/>
          </reference>
          <reference field="0" count="1" selected="0">
            <x v="30"/>
          </reference>
        </references>
      </pivotArea>
    </chartFormat>
    <chartFormat chart="30" format="110" series="1">
      <pivotArea type="data" outline="0" fieldPosition="0">
        <references count="2">
          <reference field="4294967294" count="1" selected="0">
            <x v="0"/>
          </reference>
          <reference field="0" count="1" selected="0">
            <x v="31"/>
          </reference>
        </references>
      </pivotArea>
    </chartFormat>
    <chartFormat chart="30" format="111" series="1">
      <pivotArea type="data" outline="0" fieldPosition="0">
        <references count="2">
          <reference field="4294967294" count="1" selected="0">
            <x v="0"/>
          </reference>
          <reference field="0" count="1" selected="0">
            <x v="32"/>
          </reference>
        </references>
      </pivotArea>
    </chartFormat>
    <chartFormat chart="30" format="112" series="1">
      <pivotArea type="data" outline="0" fieldPosition="0">
        <references count="2">
          <reference field="4294967294" count="1" selected="0">
            <x v="0"/>
          </reference>
          <reference field="0" count="1" selected="0">
            <x v="33"/>
          </reference>
        </references>
      </pivotArea>
    </chartFormat>
    <chartFormat chart="30" format="113" series="1">
      <pivotArea type="data" outline="0" fieldPosition="0">
        <references count="2">
          <reference field="4294967294" count="1" selected="0">
            <x v="0"/>
          </reference>
          <reference field="0" count="1" selected="0">
            <x v="34"/>
          </reference>
        </references>
      </pivotArea>
    </chartFormat>
    <chartFormat chart="30" format="114" series="1">
      <pivotArea type="data" outline="0" fieldPosition="0">
        <references count="2">
          <reference field="4294967294" count="1" selected="0">
            <x v="0"/>
          </reference>
          <reference field="0" count="1" selected="0">
            <x v="35"/>
          </reference>
        </references>
      </pivotArea>
    </chartFormat>
    <chartFormat chart="30" format="115" series="1">
      <pivotArea type="data" outline="0" fieldPosition="0">
        <references count="2">
          <reference field="4294967294" count="1" selected="0">
            <x v="0"/>
          </reference>
          <reference field="0" count="1" selected="0">
            <x v="36"/>
          </reference>
        </references>
      </pivotArea>
    </chartFormat>
    <chartFormat chart="30" format="116" series="1">
      <pivotArea type="data" outline="0" fieldPosition="0">
        <references count="2">
          <reference field="4294967294" count="1" selected="0">
            <x v="0"/>
          </reference>
          <reference field="0" count="1" selected="0">
            <x v="37"/>
          </reference>
        </references>
      </pivotArea>
    </chartFormat>
    <chartFormat chart="30" format="117" series="1">
      <pivotArea type="data" outline="0" fieldPosition="0">
        <references count="2">
          <reference field="4294967294" count="1" selected="0">
            <x v="0"/>
          </reference>
          <reference field="0" count="1" selected="0">
            <x v="3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7CA8B35-C052-4841-BC40-18566890D6A2}" name="PivotTable18"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8">
  <location ref="DC23:DE63" firstHeaderRow="0" firstDataRow="1" firstDataCol="1"/>
  <pivotFields count="26">
    <pivotField axis="axisRow" showAll="0">
      <items count="40">
        <item x="33"/>
        <item x="9"/>
        <item x="8"/>
        <item x="7"/>
        <item x="32"/>
        <item x="1"/>
        <item x="34"/>
        <item x="19"/>
        <item x="30"/>
        <item x="5"/>
        <item x="3"/>
        <item x="21"/>
        <item x="6"/>
        <item x="23"/>
        <item x="38"/>
        <item x="13"/>
        <item x="2"/>
        <item x="25"/>
        <item x="12"/>
        <item x="15"/>
        <item x="31"/>
        <item x="18"/>
        <item x="35"/>
        <item x="26"/>
        <item x="11"/>
        <item x="37"/>
        <item x="20"/>
        <item x="29"/>
        <item x="10"/>
        <item x="14"/>
        <item x="17"/>
        <item x="16"/>
        <item x="22"/>
        <item x="24"/>
        <item x="28"/>
        <item x="36"/>
        <item x="4"/>
        <item x="0"/>
        <item x="27"/>
        <item t="default"/>
      </items>
    </pivotField>
    <pivotField numFmtId="14" showAll="0">
      <items count="2">
        <item x="0"/>
        <item t="default"/>
      </items>
    </pivotField>
    <pivotField showAll="0"/>
    <pivotField showAll="0"/>
    <pivotField showAll="0"/>
    <pivotField showAll="0"/>
    <pivotField showAll="0">
      <items count="30">
        <item x="11"/>
        <item x="26"/>
        <item x="3"/>
        <item x="15"/>
        <item x="13"/>
        <item x="17"/>
        <item x="2"/>
        <item x="4"/>
        <item x="16"/>
        <item x="5"/>
        <item x="9"/>
        <item x="18"/>
        <item x="28"/>
        <item x="8"/>
        <item x="12"/>
        <item x="14"/>
        <item x="19"/>
        <item x="0"/>
        <item x="7"/>
        <item x="10"/>
        <item x="20"/>
        <item x="21"/>
        <item x="27"/>
        <item x="23"/>
        <item x="22"/>
        <item x="1"/>
        <item x="24"/>
        <item x="25"/>
        <item x="6"/>
        <item t="default"/>
      </items>
    </pivotField>
    <pivotField showAll="0">
      <items count="31">
        <item x="29"/>
        <item x="21"/>
        <item x="1"/>
        <item x="12"/>
        <item x="14"/>
        <item x="15"/>
        <item x="18"/>
        <item x="19"/>
        <item x="16"/>
        <item x="4"/>
        <item x="20"/>
        <item x="3"/>
        <item x="5"/>
        <item x="9"/>
        <item x="2"/>
        <item x="0"/>
        <item x="17"/>
        <item x="13"/>
        <item x="22"/>
        <item x="8"/>
        <item x="23"/>
        <item x="7"/>
        <item x="11"/>
        <item x="6"/>
        <item x="28"/>
        <item x="10"/>
        <item x="26"/>
        <item x="25"/>
        <item x="24"/>
        <item x="27"/>
        <item t="default"/>
      </items>
    </pivotField>
    <pivotField showAll="0"/>
    <pivotField showAll="0"/>
    <pivotField showAll="0"/>
    <pivotField showAll="0"/>
    <pivotField showAll="0"/>
    <pivotField showAll="0"/>
    <pivotField showAll="0"/>
    <pivotField showAll="0"/>
    <pivotField showAll="0"/>
    <pivotField showAll="0"/>
    <pivotField showAll="0"/>
    <pivotField numFmtId="10" showAll="0"/>
    <pivotField showAll="0"/>
    <pivotField showAll="0"/>
    <pivotField showAll="0"/>
    <pivotField showAll="0"/>
    <pivotField dataField="1" numFmtId="10" showAll="0"/>
    <pivotField dataField="1" numFmtId="10" showAll="0"/>
  </pivotFields>
  <rowFields count="1">
    <field x="0"/>
  </rowFields>
  <rowItems count="4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t="grand">
      <x/>
    </i>
  </rowItems>
  <colFields count="1">
    <field x="-2"/>
  </colFields>
  <colItems count="2">
    <i>
      <x/>
    </i>
    <i i="1">
      <x v="1"/>
    </i>
  </colItems>
  <dataFields count="2">
    <dataField name="Sum of Export_Growth_Percent" fld="24" baseField="0" baseItem="0"/>
    <dataField name="Sum of Import_Growth_Percent" fld="25" baseField="0" baseItem="0"/>
  </dataFields>
  <chartFormats count="19">
    <chartFormat chart="22" format="0" series="1">
      <pivotArea type="data" outline="0" fieldPosition="0">
        <references count="1">
          <reference field="4294967294" count="1" selected="0">
            <x v="0"/>
          </reference>
        </references>
      </pivotArea>
    </chartFormat>
    <chartFormat chart="22" format="1" series="1">
      <pivotArea type="data" outline="0" fieldPosition="0">
        <references count="1">
          <reference field="4294967294" count="1" selected="0">
            <x v="1"/>
          </reference>
        </references>
      </pivotArea>
    </chartFormat>
    <chartFormat chart="27" format="53" series="1">
      <pivotArea type="data" outline="0" fieldPosition="0">
        <references count="1">
          <reference field="4294967294" count="1" selected="0">
            <x v="0"/>
          </reference>
        </references>
      </pivotArea>
    </chartFormat>
    <chartFormat chart="27" format="54">
      <pivotArea type="data" outline="0" fieldPosition="0">
        <references count="2">
          <reference field="4294967294" count="1" selected="0">
            <x v="0"/>
          </reference>
          <reference field="0" count="1" selected="0">
            <x v="0"/>
          </reference>
        </references>
      </pivotArea>
    </chartFormat>
    <chartFormat chart="27" format="55">
      <pivotArea type="data" outline="0" fieldPosition="0">
        <references count="2">
          <reference field="4294967294" count="1" selected="0">
            <x v="0"/>
          </reference>
          <reference field="0" count="1" selected="0">
            <x v="1"/>
          </reference>
        </references>
      </pivotArea>
    </chartFormat>
    <chartFormat chart="27" format="56">
      <pivotArea type="data" outline="0" fieldPosition="0">
        <references count="2">
          <reference field="4294967294" count="1" selected="0">
            <x v="0"/>
          </reference>
          <reference field="0" count="1" selected="0">
            <x v="2"/>
          </reference>
        </references>
      </pivotArea>
    </chartFormat>
    <chartFormat chart="27" format="57">
      <pivotArea type="data" outline="0" fieldPosition="0">
        <references count="2">
          <reference field="4294967294" count="1" selected="0">
            <x v="0"/>
          </reference>
          <reference field="0" count="1" selected="0">
            <x v="3"/>
          </reference>
        </references>
      </pivotArea>
    </chartFormat>
    <chartFormat chart="27" format="58">
      <pivotArea type="data" outline="0" fieldPosition="0">
        <references count="2">
          <reference field="4294967294" count="1" selected="0">
            <x v="0"/>
          </reference>
          <reference field="0" count="1" selected="0">
            <x v="4"/>
          </reference>
        </references>
      </pivotArea>
    </chartFormat>
    <chartFormat chart="27" format="59">
      <pivotArea type="data" outline="0" fieldPosition="0">
        <references count="2">
          <reference field="4294967294" count="1" selected="0">
            <x v="0"/>
          </reference>
          <reference field="0" count="1" selected="0">
            <x v="5"/>
          </reference>
        </references>
      </pivotArea>
    </chartFormat>
    <chartFormat chart="27" format="60">
      <pivotArea type="data" outline="0" fieldPosition="0">
        <references count="2">
          <reference field="4294967294" count="1" selected="0">
            <x v="0"/>
          </reference>
          <reference field="0" count="1" selected="0">
            <x v="6"/>
          </reference>
        </references>
      </pivotArea>
    </chartFormat>
    <chartFormat chart="27" format="61">
      <pivotArea type="data" outline="0" fieldPosition="0">
        <references count="2">
          <reference field="4294967294" count="1" selected="0">
            <x v="0"/>
          </reference>
          <reference field="0" count="1" selected="0">
            <x v="7"/>
          </reference>
        </references>
      </pivotArea>
    </chartFormat>
    <chartFormat chart="27" format="62">
      <pivotArea type="data" outline="0" fieldPosition="0">
        <references count="2">
          <reference field="4294967294" count="1" selected="0">
            <x v="0"/>
          </reference>
          <reference field="0" count="1" selected="0">
            <x v="8"/>
          </reference>
        </references>
      </pivotArea>
    </chartFormat>
    <chartFormat chart="27" format="63">
      <pivotArea type="data" outline="0" fieldPosition="0">
        <references count="2">
          <reference field="4294967294" count="1" selected="0">
            <x v="0"/>
          </reference>
          <reference field="0" count="1" selected="0">
            <x v="9"/>
          </reference>
        </references>
      </pivotArea>
    </chartFormat>
    <chartFormat chart="27" format="64">
      <pivotArea type="data" outline="0" fieldPosition="0">
        <references count="2">
          <reference field="4294967294" count="1" selected="0">
            <x v="0"/>
          </reference>
          <reference field="0" count="1" selected="0">
            <x v="10"/>
          </reference>
        </references>
      </pivotArea>
    </chartFormat>
    <chartFormat chart="27" format="65">
      <pivotArea type="data" outline="0" fieldPosition="0">
        <references count="2">
          <reference field="4294967294" count="1" selected="0">
            <x v="0"/>
          </reference>
          <reference field="0" count="1" selected="0">
            <x v="11"/>
          </reference>
        </references>
      </pivotArea>
    </chartFormat>
    <chartFormat chart="27" format="66">
      <pivotArea type="data" outline="0" fieldPosition="0">
        <references count="2">
          <reference field="4294967294" count="1" selected="0">
            <x v="0"/>
          </reference>
          <reference field="0" count="1" selected="0">
            <x v="12"/>
          </reference>
        </references>
      </pivotArea>
    </chartFormat>
    <chartFormat chart="27" format="67">
      <pivotArea type="data" outline="0" fieldPosition="0">
        <references count="2">
          <reference field="4294967294" count="1" selected="0">
            <x v="0"/>
          </reference>
          <reference field="0" count="1" selected="0">
            <x v="13"/>
          </reference>
        </references>
      </pivotArea>
    </chartFormat>
    <chartFormat chart="27" format="68">
      <pivotArea type="data" outline="0" fieldPosition="0">
        <references count="2">
          <reference field="4294967294" count="1" selected="0">
            <x v="0"/>
          </reference>
          <reference field="0" count="1" selected="0">
            <x v="14"/>
          </reference>
        </references>
      </pivotArea>
    </chartFormat>
    <chartFormat chart="27" format="6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055D95B-7F7F-B34E-AFA6-FE0E3387FA82}" name="PivotTable17"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CT25:CU65" firstHeaderRow="1" firstDataRow="1" firstDataCol="1"/>
  <pivotFields count="26">
    <pivotField axis="axisRow" showAll="0">
      <items count="40">
        <item x="33"/>
        <item x="9"/>
        <item x="8"/>
        <item x="7"/>
        <item x="32"/>
        <item x="1"/>
        <item x="34"/>
        <item x="19"/>
        <item x="30"/>
        <item x="5"/>
        <item x="3"/>
        <item x="21"/>
        <item x="6"/>
        <item x="23"/>
        <item x="38"/>
        <item x="13"/>
        <item x="2"/>
        <item x="25"/>
        <item x="12"/>
        <item x="15"/>
        <item x="31"/>
        <item x="18"/>
        <item x="35"/>
        <item x="26"/>
        <item x="11"/>
        <item x="37"/>
        <item x="20"/>
        <item x="29"/>
        <item x="10"/>
        <item x="14"/>
        <item x="17"/>
        <item x="16"/>
        <item x="22"/>
        <item x="24"/>
        <item x="28"/>
        <item x="36"/>
        <item x="4"/>
        <item x="0"/>
        <item x="27"/>
        <item t="default"/>
      </items>
    </pivotField>
    <pivotField numFmtId="14" showAll="0">
      <items count="2">
        <item x="0"/>
        <item t="default"/>
      </items>
    </pivotField>
    <pivotField showAll="0"/>
    <pivotField showAll="0"/>
    <pivotField showAll="0"/>
    <pivotField showAll="0"/>
    <pivotField showAll="0">
      <items count="30">
        <item x="11"/>
        <item x="26"/>
        <item x="3"/>
        <item x="15"/>
        <item x="13"/>
        <item x="17"/>
        <item x="2"/>
        <item x="4"/>
        <item x="16"/>
        <item x="5"/>
        <item x="9"/>
        <item x="18"/>
        <item x="28"/>
        <item x="8"/>
        <item x="12"/>
        <item x="14"/>
        <item x="19"/>
        <item x="0"/>
        <item x="7"/>
        <item x="10"/>
        <item x="20"/>
        <item x="21"/>
        <item x="27"/>
        <item x="23"/>
        <item x="22"/>
        <item x="1"/>
        <item x="24"/>
        <item x="25"/>
        <item x="6"/>
        <item t="default"/>
      </items>
    </pivotField>
    <pivotField showAll="0">
      <items count="31">
        <item x="29"/>
        <item x="21"/>
        <item x="1"/>
        <item x="12"/>
        <item x="14"/>
        <item x="15"/>
        <item x="18"/>
        <item x="19"/>
        <item x="16"/>
        <item x="4"/>
        <item x="20"/>
        <item x="3"/>
        <item x="5"/>
        <item x="9"/>
        <item x="2"/>
        <item x="0"/>
        <item x="17"/>
        <item x="13"/>
        <item x="22"/>
        <item x="8"/>
        <item x="23"/>
        <item x="7"/>
        <item x="11"/>
        <item x="6"/>
        <item x="28"/>
        <item x="10"/>
        <item x="26"/>
        <item x="25"/>
        <item x="24"/>
        <item x="27"/>
        <item t="default"/>
      </items>
    </pivotField>
    <pivotField showAll="0"/>
    <pivotField showAll="0"/>
    <pivotField showAll="0"/>
    <pivotField showAll="0"/>
    <pivotField showAll="0"/>
    <pivotField dataField="1" showAll="0"/>
    <pivotField showAll="0"/>
    <pivotField showAll="0"/>
    <pivotField showAll="0"/>
    <pivotField showAll="0"/>
    <pivotField showAll="0"/>
    <pivotField numFmtId="10" showAll="0"/>
    <pivotField showAll="0"/>
    <pivotField showAll="0"/>
    <pivotField showAll="0"/>
    <pivotField showAll="0"/>
    <pivotField numFmtId="10" showAll="0"/>
    <pivotField numFmtId="10" showAll="0"/>
  </pivotFields>
  <rowFields count="1">
    <field x="0"/>
  </rowFields>
  <rowItems count="4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t="grand">
      <x/>
    </i>
  </rowItems>
  <colItems count="1">
    <i/>
  </colItems>
  <dataFields count="1">
    <dataField name="Sum of Government_Debt_GDP_Percent" fld="13" baseField="0" baseItem="0"/>
  </dataFields>
  <chartFormats count="2">
    <chartFormat chart="21" format="0" series="1">
      <pivotArea type="data" outline="0" fieldPosition="0">
        <references count="1">
          <reference field="4294967294" count="1" selected="0">
            <x v="0"/>
          </reference>
        </references>
      </pivotArea>
    </chartFormat>
    <chartFormat chart="2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D25AD75-6ED8-F540-807F-0C74860CD981}" name="PivotTable16"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BQ23:BS63" firstHeaderRow="0" firstDataRow="1" firstDataCol="1"/>
  <pivotFields count="26">
    <pivotField axis="axisRow" showAll="0">
      <items count="40">
        <item x="33"/>
        <item x="9"/>
        <item x="8"/>
        <item x="7"/>
        <item x="32"/>
        <item x="1"/>
        <item x="34"/>
        <item x="19"/>
        <item x="30"/>
        <item x="5"/>
        <item x="3"/>
        <item x="21"/>
        <item x="6"/>
        <item x="23"/>
        <item x="38"/>
        <item x="13"/>
        <item x="2"/>
        <item x="25"/>
        <item x="12"/>
        <item x="15"/>
        <item x="31"/>
        <item x="18"/>
        <item x="35"/>
        <item x="26"/>
        <item x="11"/>
        <item x="37"/>
        <item x="20"/>
        <item x="29"/>
        <item x="10"/>
        <item x="14"/>
        <item x="17"/>
        <item x="16"/>
        <item x="22"/>
        <item x="24"/>
        <item x="28"/>
        <item x="36"/>
        <item x="4"/>
        <item x="0"/>
        <item x="27"/>
        <item t="default"/>
      </items>
    </pivotField>
    <pivotField numFmtId="14" showAll="0">
      <items count="2">
        <item x="0"/>
        <item t="default"/>
      </items>
    </pivotField>
    <pivotField showAll="0"/>
    <pivotField showAll="0"/>
    <pivotField showAll="0"/>
    <pivotField showAll="0"/>
    <pivotField showAll="0">
      <items count="30">
        <item x="11"/>
        <item x="26"/>
        <item x="3"/>
        <item x="15"/>
        <item x="13"/>
        <item x="17"/>
        <item x="2"/>
        <item x="4"/>
        <item x="16"/>
        <item x="5"/>
        <item x="9"/>
        <item x="18"/>
        <item x="28"/>
        <item x="8"/>
        <item x="12"/>
        <item x="14"/>
        <item x="19"/>
        <item x="0"/>
        <item x="7"/>
        <item x="10"/>
        <item x="20"/>
        <item x="21"/>
        <item x="27"/>
        <item x="23"/>
        <item x="22"/>
        <item x="1"/>
        <item x="24"/>
        <item x="25"/>
        <item x="6"/>
        <item t="default"/>
      </items>
    </pivotField>
    <pivotField showAll="0">
      <items count="31">
        <item x="29"/>
        <item x="21"/>
        <item x="1"/>
        <item x="12"/>
        <item x="14"/>
        <item x="15"/>
        <item x="18"/>
        <item x="19"/>
        <item x="16"/>
        <item x="4"/>
        <item x="20"/>
        <item x="3"/>
        <item x="5"/>
        <item x="9"/>
        <item x="2"/>
        <item x="0"/>
        <item x="17"/>
        <item x="13"/>
        <item x="22"/>
        <item x="8"/>
        <item x="23"/>
        <item x="7"/>
        <item x="11"/>
        <item x="6"/>
        <item x="28"/>
        <item x="10"/>
        <item x="26"/>
        <item x="25"/>
        <item x="24"/>
        <item x="27"/>
        <item t="default"/>
      </items>
    </pivotField>
    <pivotField dataField="1" showAll="0"/>
    <pivotField dataField="1" showAll="0"/>
    <pivotField showAll="0"/>
    <pivotField showAll="0"/>
    <pivotField showAll="0"/>
    <pivotField showAll="0"/>
    <pivotField showAll="0"/>
    <pivotField showAll="0"/>
    <pivotField showAll="0"/>
    <pivotField showAll="0"/>
    <pivotField showAll="0"/>
    <pivotField numFmtId="10" showAll="0"/>
    <pivotField showAll="0"/>
    <pivotField showAll="0"/>
    <pivotField showAll="0"/>
    <pivotField showAll="0"/>
    <pivotField numFmtId="10" showAll="0"/>
    <pivotField numFmtId="10" showAll="0"/>
  </pivotFields>
  <rowFields count="1">
    <field x="0"/>
  </rowFields>
  <rowItems count="4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t="grand">
      <x/>
    </i>
  </rowItems>
  <colFields count="1">
    <field x="-2"/>
  </colFields>
  <colItems count="2">
    <i>
      <x/>
    </i>
    <i i="1">
      <x v="1"/>
    </i>
  </colItems>
  <dataFields count="2">
    <dataField name="Sum of Unemployment_Rate_Percent" fld="9" baseField="0" baseItem="0"/>
    <dataField name="Sum of Interest_Rate_Percent" fld="8" baseField="0" baseItem="0"/>
  </dataFields>
  <chartFormats count="4">
    <chartFormat chart="18" format="0" series="1">
      <pivotArea type="data" outline="0" fieldPosition="0">
        <references count="1">
          <reference field="4294967294" count="1" selected="0">
            <x v="0"/>
          </reference>
        </references>
      </pivotArea>
    </chartFormat>
    <chartFormat chart="18" format="1" series="1">
      <pivotArea type="data" outline="0" fieldPosition="0">
        <references count="1">
          <reference field="4294967294" count="1" selected="0">
            <x v="1"/>
          </reference>
        </references>
      </pivotArea>
    </chartFormat>
    <chartFormat chart="23" format="8" series="1">
      <pivotArea type="data" outline="0" fieldPosition="0">
        <references count="1">
          <reference field="4294967294" count="1" selected="0">
            <x v="0"/>
          </reference>
        </references>
      </pivotArea>
    </chartFormat>
    <chartFormat chart="23"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441B7F1-FCF9-C34F-B9C0-6E16B0A7001D}" name="PivotTable15"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D20:AF60" firstHeaderRow="0" firstDataRow="1" firstDataCol="1"/>
  <pivotFields count="26">
    <pivotField axis="axisRow" showAll="0">
      <items count="40">
        <item x="33"/>
        <item x="9"/>
        <item x="8"/>
        <item x="7"/>
        <item x="32"/>
        <item x="1"/>
        <item x="34"/>
        <item x="19"/>
        <item x="30"/>
        <item x="5"/>
        <item x="3"/>
        <item x="21"/>
        <item x="6"/>
        <item x="23"/>
        <item x="38"/>
        <item x="13"/>
        <item x="2"/>
        <item x="25"/>
        <item x="12"/>
        <item x="15"/>
        <item x="31"/>
        <item x="18"/>
        <item x="35"/>
        <item x="26"/>
        <item x="11"/>
        <item x="37"/>
        <item x="20"/>
        <item x="29"/>
        <item x="10"/>
        <item x="14"/>
        <item x="17"/>
        <item x="16"/>
        <item x="22"/>
        <item x="24"/>
        <item x="28"/>
        <item x="36"/>
        <item x="4"/>
        <item x="0"/>
        <item x="27"/>
        <item t="default"/>
      </items>
    </pivotField>
    <pivotField numFmtId="14" showAll="0">
      <items count="2">
        <item x="0"/>
        <item t="default"/>
      </items>
    </pivotField>
    <pivotField showAll="0"/>
    <pivotField showAll="0"/>
    <pivotField showAll="0"/>
    <pivotField showAll="0"/>
    <pivotField dataField="1" showAll="0">
      <items count="30">
        <item x="11"/>
        <item x="26"/>
        <item x="3"/>
        <item x="15"/>
        <item x="13"/>
        <item x="17"/>
        <item x="2"/>
        <item x="4"/>
        <item x="16"/>
        <item x="5"/>
        <item x="9"/>
        <item x="18"/>
        <item x="28"/>
        <item x="8"/>
        <item x="12"/>
        <item x="14"/>
        <item x="19"/>
        <item x="0"/>
        <item x="7"/>
        <item x="10"/>
        <item x="20"/>
        <item x="21"/>
        <item x="27"/>
        <item x="23"/>
        <item x="22"/>
        <item x="1"/>
        <item x="24"/>
        <item x="25"/>
        <item x="6"/>
        <item t="default"/>
      </items>
    </pivotField>
    <pivotField dataField="1" showAll="0">
      <items count="31">
        <item x="29"/>
        <item x="21"/>
        <item x="1"/>
        <item x="12"/>
        <item x="14"/>
        <item x="15"/>
        <item x="18"/>
        <item x="19"/>
        <item x="16"/>
        <item x="4"/>
        <item x="20"/>
        <item x="3"/>
        <item x="5"/>
        <item x="9"/>
        <item x="2"/>
        <item x="0"/>
        <item x="17"/>
        <item x="13"/>
        <item x="22"/>
        <item x="8"/>
        <item x="23"/>
        <item x="7"/>
        <item x="11"/>
        <item x="6"/>
        <item x="28"/>
        <item x="10"/>
        <item x="26"/>
        <item x="25"/>
        <item x="24"/>
        <item x="27"/>
        <item t="default"/>
      </items>
    </pivotField>
    <pivotField showAll="0"/>
    <pivotField showAll="0"/>
    <pivotField showAll="0"/>
    <pivotField showAll="0"/>
    <pivotField showAll="0"/>
    <pivotField showAll="0"/>
    <pivotField showAll="0"/>
    <pivotField showAll="0"/>
    <pivotField showAll="0"/>
    <pivotField showAll="0"/>
    <pivotField showAll="0"/>
    <pivotField numFmtId="10" showAll="0"/>
    <pivotField showAll="0"/>
    <pivotField showAll="0"/>
    <pivotField showAll="0"/>
    <pivotField showAll="0"/>
    <pivotField numFmtId="10" showAll="0"/>
    <pivotField numFmtId="10" showAll="0"/>
  </pivotFields>
  <rowFields count="1">
    <field x="0"/>
  </rowFields>
  <rowItems count="4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t="grand">
      <x/>
    </i>
  </rowItems>
  <colFields count="1">
    <field x="-2"/>
  </colFields>
  <colItems count="2">
    <i>
      <x/>
    </i>
    <i i="1">
      <x v="1"/>
    </i>
  </colItems>
  <dataFields count="2">
    <dataField name="Sum of GDP_Growth_Rate_Percent" fld="6" baseField="0" baseItem="0"/>
    <dataField name="Sum of Inflation_Rate_Percent" fld="7" baseField="0" baseItem="0"/>
  </dataFields>
  <chartFormats count="86">
    <chartFormat chart="10" format="0"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1"/>
          </reference>
        </references>
      </pivotArea>
    </chartFormat>
    <chartFormat chart="11" format="0"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1"/>
          </reference>
        </references>
      </pivotArea>
    </chartFormat>
    <chartFormat chart="16" format="242" series="1">
      <pivotArea type="data" outline="0" fieldPosition="0">
        <references count="1">
          <reference field="4294967294" count="1" selected="0">
            <x v="0"/>
          </reference>
        </references>
      </pivotArea>
    </chartFormat>
    <chartFormat chart="16" format="243">
      <pivotArea type="data" outline="0" fieldPosition="0">
        <references count="2">
          <reference field="4294967294" count="1" selected="0">
            <x v="0"/>
          </reference>
          <reference field="0" count="1" selected="0">
            <x v="0"/>
          </reference>
        </references>
      </pivotArea>
    </chartFormat>
    <chartFormat chart="16" format="244">
      <pivotArea type="data" outline="0" fieldPosition="0">
        <references count="2">
          <reference field="4294967294" count="1" selected="0">
            <x v="0"/>
          </reference>
          <reference field="0" count="1" selected="0">
            <x v="1"/>
          </reference>
        </references>
      </pivotArea>
    </chartFormat>
    <chartFormat chart="16" format="245">
      <pivotArea type="data" outline="0" fieldPosition="0">
        <references count="2">
          <reference field="4294967294" count="1" selected="0">
            <x v="0"/>
          </reference>
          <reference field="0" count="1" selected="0">
            <x v="2"/>
          </reference>
        </references>
      </pivotArea>
    </chartFormat>
    <chartFormat chart="16" format="246">
      <pivotArea type="data" outline="0" fieldPosition="0">
        <references count="2">
          <reference field="4294967294" count="1" selected="0">
            <x v="0"/>
          </reference>
          <reference field="0" count="1" selected="0">
            <x v="3"/>
          </reference>
        </references>
      </pivotArea>
    </chartFormat>
    <chartFormat chart="16" format="247">
      <pivotArea type="data" outline="0" fieldPosition="0">
        <references count="2">
          <reference field="4294967294" count="1" selected="0">
            <x v="0"/>
          </reference>
          <reference field="0" count="1" selected="0">
            <x v="4"/>
          </reference>
        </references>
      </pivotArea>
    </chartFormat>
    <chartFormat chart="16" format="248">
      <pivotArea type="data" outline="0" fieldPosition="0">
        <references count="2">
          <reference field="4294967294" count="1" selected="0">
            <x v="0"/>
          </reference>
          <reference field="0" count="1" selected="0">
            <x v="5"/>
          </reference>
        </references>
      </pivotArea>
    </chartFormat>
    <chartFormat chart="16" format="249">
      <pivotArea type="data" outline="0" fieldPosition="0">
        <references count="2">
          <reference field="4294967294" count="1" selected="0">
            <x v="0"/>
          </reference>
          <reference field="0" count="1" selected="0">
            <x v="6"/>
          </reference>
        </references>
      </pivotArea>
    </chartFormat>
    <chartFormat chart="16" format="250">
      <pivotArea type="data" outline="0" fieldPosition="0">
        <references count="2">
          <reference field="4294967294" count="1" selected="0">
            <x v="0"/>
          </reference>
          <reference field="0" count="1" selected="0">
            <x v="7"/>
          </reference>
        </references>
      </pivotArea>
    </chartFormat>
    <chartFormat chart="16" format="251">
      <pivotArea type="data" outline="0" fieldPosition="0">
        <references count="2">
          <reference field="4294967294" count="1" selected="0">
            <x v="0"/>
          </reference>
          <reference field="0" count="1" selected="0">
            <x v="8"/>
          </reference>
        </references>
      </pivotArea>
    </chartFormat>
    <chartFormat chart="16" format="252">
      <pivotArea type="data" outline="0" fieldPosition="0">
        <references count="2">
          <reference field="4294967294" count="1" selected="0">
            <x v="0"/>
          </reference>
          <reference field="0" count="1" selected="0">
            <x v="9"/>
          </reference>
        </references>
      </pivotArea>
    </chartFormat>
    <chartFormat chart="16" format="253">
      <pivotArea type="data" outline="0" fieldPosition="0">
        <references count="2">
          <reference field="4294967294" count="1" selected="0">
            <x v="0"/>
          </reference>
          <reference field="0" count="1" selected="0">
            <x v="10"/>
          </reference>
        </references>
      </pivotArea>
    </chartFormat>
    <chartFormat chart="16" format="254">
      <pivotArea type="data" outline="0" fieldPosition="0">
        <references count="2">
          <reference field="4294967294" count="1" selected="0">
            <x v="0"/>
          </reference>
          <reference field="0" count="1" selected="0">
            <x v="11"/>
          </reference>
        </references>
      </pivotArea>
    </chartFormat>
    <chartFormat chart="16" format="255">
      <pivotArea type="data" outline="0" fieldPosition="0">
        <references count="2">
          <reference field="4294967294" count="1" selected="0">
            <x v="0"/>
          </reference>
          <reference field="0" count="1" selected="0">
            <x v="12"/>
          </reference>
        </references>
      </pivotArea>
    </chartFormat>
    <chartFormat chart="16" format="256">
      <pivotArea type="data" outline="0" fieldPosition="0">
        <references count="2">
          <reference field="4294967294" count="1" selected="0">
            <x v="0"/>
          </reference>
          <reference field="0" count="1" selected="0">
            <x v="13"/>
          </reference>
        </references>
      </pivotArea>
    </chartFormat>
    <chartFormat chart="16" format="257">
      <pivotArea type="data" outline="0" fieldPosition="0">
        <references count="2">
          <reference field="4294967294" count="1" selected="0">
            <x v="0"/>
          </reference>
          <reference field="0" count="1" selected="0">
            <x v="14"/>
          </reference>
        </references>
      </pivotArea>
    </chartFormat>
    <chartFormat chart="16" format="258">
      <pivotArea type="data" outline="0" fieldPosition="0">
        <references count="2">
          <reference field="4294967294" count="1" selected="0">
            <x v="0"/>
          </reference>
          <reference field="0" count="1" selected="0">
            <x v="15"/>
          </reference>
        </references>
      </pivotArea>
    </chartFormat>
    <chartFormat chart="16" format="259">
      <pivotArea type="data" outline="0" fieldPosition="0">
        <references count="2">
          <reference field="4294967294" count="1" selected="0">
            <x v="0"/>
          </reference>
          <reference field="0" count="1" selected="0">
            <x v="16"/>
          </reference>
        </references>
      </pivotArea>
    </chartFormat>
    <chartFormat chart="16" format="260">
      <pivotArea type="data" outline="0" fieldPosition="0">
        <references count="2">
          <reference field="4294967294" count="1" selected="0">
            <x v="0"/>
          </reference>
          <reference field="0" count="1" selected="0">
            <x v="17"/>
          </reference>
        </references>
      </pivotArea>
    </chartFormat>
    <chartFormat chart="16" format="261">
      <pivotArea type="data" outline="0" fieldPosition="0">
        <references count="2">
          <reference field="4294967294" count="1" selected="0">
            <x v="0"/>
          </reference>
          <reference field="0" count="1" selected="0">
            <x v="18"/>
          </reference>
        </references>
      </pivotArea>
    </chartFormat>
    <chartFormat chart="16" format="262">
      <pivotArea type="data" outline="0" fieldPosition="0">
        <references count="2">
          <reference field="4294967294" count="1" selected="0">
            <x v="0"/>
          </reference>
          <reference field="0" count="1" selected="0">
            <x v="19"/>
          </reference>
        </references>
      </pivotArea>
    </chartFormat>
    <chartFormat chart="16" format="263">
      <pivotArea type="data" outline="0" fieldPosition="0">
        <references count="2">
          <reference field="4294967294" count="1" selected="0">
            <x v="0"/>
          </reference>
          <reference field="0" count="1" selected="0">
            <x v="20"/>
          </reference>
        </references>
      </pivotArea>
    </chartFormat>
    <chartFormat chart="16" format="264">
      <pivotArea type="data" outline="0" fieldPosition="0">
        <references count="2">
          <reference field="4294967294" count="1" selected="0">
            <x v="0"/>
          </reference>
          <reference field="0" count="1" selected="0">
            <x v="21"/>
          </reference>
        </references>
      </pivotArea>
    </chartFormat>
    <chartFormat chart="16" format="265">
      <pivotArea type="data" outline="0" fieldPosition="0">
        <references count="2">
          <reference field="4294967294" count="1" selected="0">
            <x v="0"/>
          </reference>
          <reference field="0" count="1" selected="0">
            <x v="22"/>
          </reference>
        </references>
      </pivotArea>
    </chartFormat>
    <chartFormat chart="16" format="266">
      <pivotArea type="data" outline="0" fieldPosition="0">
        <references count="2">
          <reference field="4294967294" count="1" selected="0">
            <x v="0"/>
          </reference>
          <reference field="0" count="1" selected="0">
            <x v="23"/>
          </reference>
        </references>
      </pivotArea>
    </chartFormat>
    <chartFormat chart="16" format="267">
      <pivotArea type="data" outline="0" fieldPosition="0">
        <references count="2">
          <reference field="4294967294" count="1" selected="0">
            <x v="0"/>
          </reference>
          <reference field="0" count="1" selected="0">
            <x v="24"/>
          </reference>
        </references>
      </pivotArea>
    </chartFormat>
    <chartFormat chart="16" format="268">
      <pivotArea type="data" outline="0" fieldPosition="0">
        <references count="2">
          <reference field="4294967294" count="1" selected="0">
            <x v="0"/>
          </reference>
          <reference field="0" count="1" selected="0">
            <x v="25"/>
          </reference>
        </references>
      </pivotArea>
    </chartFormat>
    <chartFormat chart="16" format="269">
      <pivotArea type="data" outline="0" fieldPosition="0">
        <references count="2">
          <reference field="4294967294" count="1" selected="0">
            <x v="0"/>
          </reference>
          <reference field="0" count="1" selected="0">
            <x v="26"/>
          </reference>
        </references>
      </pivotArea>
    </chartFormat>
    <chartFormat chart="16" format="270">
      <pivotArea type="data" outline="0" fieldPosition="0">
        <references count="2">
          <reference field="4294967294" count="1" selected="0">
            <x v="0"/>
          </reference>
          <reference field="0" count="1" selected="0">
            <x v="27"/>
          </reference>
        </references>
      </pivotArea>
    </chartFormat>
    <chartFormat chart="16" format="271">
      <pivotArea type="data" outline="0" fieldPosition="0">
        <references count="2">
          <reference field="4294967294" count="1" selected="0">
            <x v="0"/>
          </reference>
          <reference field="0" count="1" selected="0">
            <x v="28"/>
          </reference>
        </references>
      </pivotArea>
    </chartFormat>
    <chartFormat chart="16" format="272">
      <pivotArea type="data" outline="0" fieldPosition="0">
        <references count="2">
          <reference field="4294967294" count="1" selected="0">
            <x v="0"/>
          </reference>
          <reference field="0" count="1" selected="0">
            <x v="29"/>
          </reference>
        </references>
      </pivotArea>
    </chartFormat>
    <chartFormat chart="16" format="273">
      <pivotArea type="data" outline="0" fieldPosition="0">
        <references count="2">
          <reference field="4294967294" count="1" selected="0">
            <x v="0"/>
          </reference>
          <reference field="0" count="1" selected="0">
            <x v="30"/>
          </reference>
        </references>
      </pivotArea>
    </chartFormat>
    <chartFormat chart="16" format="274">
      <pivotArea type="data" outline="0" fieldPosition="0">
        <references count="2">
          <reference field="4294967294" count="1" selected="0">
            <x v="0"/>
          </reference>
          <reference field="0" count="1" selected="0">
            <x v="31"/>
          </reference>
        </references>
      </pivotArea>
    </chartFormat>
    <chartFormat chart="16" format="275">
      <pivotArea type="data" outline="0" fieldPosition="0">
        <references count="2">
          <reference field="4294967294" count="1" selected="0">
            <x v="0"/>
          </reference>
          <reference field="0" count="1" selected="0">
            <x v="32"/>
          </reference>
        </references>
      </pivotArea>
    </chartFormat>
    <chartFormat chart="16" format="276">
      <pivotArea type="data" outline="0" fieldPosition="0">
        <references count="2">
          <reference field="4294967294" count="1" selected="0">
            <x v="0"/>
          </reference>
          <reference field="0" count="1" selected="0">
            <x v="33"/>
          </reference>
        </references>
      </pivotArea>
    </chartFormat>
    <chartFormat chart="16" format="277">
      <pivotArea type="data" outline="0" fieldPosition="0">
        <references count="2">
          <reference field="4294967294" count="1" selected="0">
            <x v="0"/>
          </reference>
          <reference field="0" count="1" selected="0">
            <x v="34"/>
          </reference>
        </references>
      </pivotArea>
    </chartFormat>
    <chartFormat chart="16" format="278">
      <pivotArea type="data" outline="0" fieldPosition="0">
        <references count="2">
          <reference field="4294967294" count="1" selected="0">
            <x v="0"/>
          </reference>
          <reference field="0" count="1" selected="0">
            <x v="35"/>
          </reference>
        </references>
      </pivotArea>
    </chartFormat>
    <chartFormat chart="16" format="279">
      <pivotArea type="data" outline="0" fieldPosition="0">
        <references count="2">
          <reference field="4294967294" count="1" selected="0">
            <x v="0"/>
          </reference>
          <reference field="0" count="1" selected="0">
            <x v="36"/>
          </reference>
        </references>
      </pivotArea>
    </chartFormat>
    <chartFormat chart="16" format="280">
      <pivotArea type="data" outline="0" fieldPosition="0">
        <references count="2">
          <reference field="4294967294" count="1" selected="0">
            <x v="0"/>
          </reference>
          <reference field="0" count="1" selected="0">
            <x v="37"/>
          </reference>
        </references>
      </pivotArea>
    </chartFormat>
    <chartFormat chart="16" format="281">
      <pivotArea type="data" outline="0" fieldPosition="0">
        <references count="2">
          <reference field="4294967294" count="1" selected="0">
            <x v="0"/>
          </reference>
          <reference field="0" count="1" selected="0">
            <x v="38"/>
          </reference>
        </references>
      </pivotArea>
    </chartFormat>
    <chartFormat chart="16" format="282" series="1">
      <pivotArea type="data" outline="0" fieldPosition="0">
        <references count="1">
          <reference field="4294967294" count="1" selected="0">
            <x v="1"/>
          </reference>
        </references>
      </pivotArea>
    </chartFormat>
    <chartFormat chart="16" format="283">
      <pivotArea type="data" outline="0" fieldPosition="0">
        <references count="2">
          <reference field="4294967294" count="1" selected="0">
            <x v="1"/>
          </reference>
          <reference field="0" count="1" selected="0">
            <x v="0"/>
          </reference>
        </references>
      </pivotArea>
    </chartFormat>
    <chartFormat chart="16" format="284">
      <pivotArea type="data" outline="0" fieldPosition="0">
        <references count="2">
          <reference field="4294967294" count="1" selected="0">
            <x v="1"/>
          </reference>
          <reference field="0" count="1" selected="0">
            <x v="1"/>
          </reference>
        </references>
      </pivotArea>
    </chartFormat>
    <chartFormat chart="16" format="285">
      <pivotArea type="data" outline="0" fieldPosition="0">
        <references count="2">
          <reference field="4294967294" count="1" selected="0">
            <x v="1"/>
          </reference>
          <reference field="0" count="1" selected="0">
            <x v="2"/>
          </reference>
        </references>
      </pivotArea>
    </chartFormat>
    <chartFormat chart="16" format="286">
      <pivotArea type="data" outline="0" fieldPosition="0">
        <references count="2">
          <reference field="4294967294" count="1" selected="0">
            <x v="1"/>
          </reference>
          <reference field="0" count="1" selected="0">
            <x v="3"/>
          </reference>
        </references>
      </pivotArea>
    </chartFormat>
    <chartFormat chart="16" format="287">
      <pivotArea type="data" outline="0" fieldPosition="0">
        <references count="2">
          <reference field="4294967294" count="1" selected="0">
            <x v="1"/>
          </reference>
          <reference field="0" count="1" selected="0">
            <x v="4"/>
          </reference>
        </references>
      </pivotArea>
    </chartFormat>
    <chartFormat chart="16" format="288">
      <pivotArea type="data" outline="0" fieldPosition="0">
        <references count="2">
          <reference field="4294967294" count="1" selected="0">
            <x v="1"/>
          </reference>
          <reference field="0" count="1" selected="0">
            <x v="5"/>
          </reference>
        </references>
      </pivotArea>
    </chartFormat>
    <chartFormat chart="16" format="289">
      <pivotArea type="data" outline="0" fieldPosition="0">
        <references count="2">
          <reference field="4294967294" count="1" selected="0">
            <x v="1"/>
          </reference>
          <reference field="0" count="1" selected="0">
            <x v="6"/>
          </reference>
        </references>
      </pivotArea>
    </chartFormat>
    <chartFormat chart="16" format="290">
      <pivotArea type="data" outline="0" fieldPosition="0">
        <references count="2">
          <reference field="4294967294" count="1" selected="0">
            <x v="1"/>
          </reference>
          <reference field="0" count="1" selected="0">
            <x v="7"/>
          </reference>
        </references>
      </pivotArea>
    </chartFormat>
    <chartFormat chart="16" format="291">
      <pivotArea type="data" outline="0" fieldPosition="0">
        <references count="2">
          <reference field="4294967294" count="1" selected="0">
            <x v="1"/>
          </reference>
          <reference field="0" count="1" selected="0">
            <x v="8"/>
          </reference>
        </references>
      </pivotArea>
    </chartFormat>
    <chartFormat chart="16" format="292">
      <pivotArea type="data" outline="0" fieldPosition="0">
        <references count="2">
          <reference field="4294967294" count="1" selected="0">
            <x v="1"/>
          </reference>
          <reference field="0" count="1" selected="0">
            <x v="9"/>
          </reference>
        </references>
      </pivotArea>
    </chartFormat>
    <chartFormat chart="16" format="293">
      <pivotArea type="data" outline="0" fieldPosition="0">
        <references count="2">
          <reference field="4294967294" count="1" selected="0">
            <x v="1"/>
          </reference>
          <reference field="0" count="1" selected="0">
            <x v="10"/>
          </reference>
        </references>
      </pivotArea>
    </chartFormat>
    <chartFormat chart="16" format="294">
      <pivotArea type="data" outline="0" fieldPosition="0">
        <references count="2">
          <reference field="4294967294" count="1" selected="0">
            <x v="1"/>
          </reference>
          <reference field="0" count="1" selected="0">
            <x v="11"/>
          </reference>
        </references>
      </pivotArea>
    </chartFormat>
    <chartFormat chart="16" format="295">
      <pivotArea type="data" outline="0" fieldPosition="0">
        <references count="2">
          <reference field="4294967294" count="1" selected="0">
            <x v="1"/>
          </reference>
          <reference field="0" count="1" selected="0">
            <x v="12"/>
          </reference>
        </references>
      </pivotArea>
    </chartFormat>
    <chartFormat chart="16" format="296">
      <pivotArea type="data" outline="0" fieldPosition="0">
        <references count="2">
          <reference field="4294967294" count="1" selected="0">
            <x v="1"/>
          </reference>
          <reference field="0" count="1" selected="0">
            <x v="13"/>
          </reference>
        </references>
      </pivotArea>
    </chartFormat>
    <chartFormat chart="16" format="297">
      <pivotArea type="data" outline="0" fieldPosition="0">
        <references count="2">
          <reference field="4294967294" count="1" selected="0">
            <x v="1"/>
          </reference>
          <reference field="0" count="1" selected="0">
            <x v="14"/>
          </reference>
        </references>
      </pivotArea>
    </chartFormat>
    <chartFormat chart="16" format="298">
      <pivotArea type="data" outline="0" fieldPosition="0">
        <references count="2">
          <reference field="4294967294" count="1" selected="0">
            <x v="1"/>
          </reference>
          <reference field="0" count="1" selected="0">
            <x v="15"/>
          </reference>
        </references>
      </pivotArea>
    </chartFormat>
    <chartFormat chart="16" format="299">
      <pivotArea type="data" outline="0" fieldPosition="0">
        <references count="2">
          <reference field="4294967294" count="1" selected="0">
            <x v="1"/>
          </reference>
          <reference field="0" count="1" selected="0">
            <x v="16"/>
          </reference>
        </references>
      </pivotArea>
    </chartFormat>
    <chartFormat chart="16" format="300">
      <pivotArea type="data" outline="0" fieldPosition="0">
        <references count="2">
          <reference field="4294967294" count="1" selected="0">
            <x v="1"/>
          </reference>
          <reference field="0" count="1" selected="0">
            <x v="17"/>
          </reference>
        </references>
      </pivotArea>
    </chartFormat>
    <chartFormat chart="16" format="301">
      <pivotArea type="data" outline="0" fieldPosition="0">
        <references count="2">
          <reference field="4294967294" count="1" selected="0">
            <x v="1"/>
          </reference>
          <reference field="0" count="1" selected="0">
            <x v="18"/>
          </reference>
        </references>
      </pivotArea>
    </chartFormat>
    <chartFormat chart="16" format="302">
      <pivotArea type="data" outline="0" fieldPosition="0">
        <references count="2">
          <reference field="4294967294" count="1" selected="0">
            <x v="1"/>
          </reference>
          <reference field="0" count="1" selected="0">
            <x v="19"/>
          </reference>
        </references>
      </pivotArea>
    </chartFormat>
    <chartFormat chart="16" format="303">
      <pivotArea type="data" outline="0" fieldPosition="0">
        <references count="2">
          <reference field="4294967294" count="1" selected="0">
            <x v="1"/>
          </reference>
          <reference field="0" count="1" selected="0">
            <x v="20"/>
          </reference>
        </references>
      </pivotArea>
    </chartFormat>
    <chartFormat chart="16" format="304">
      <pivotArea type="data" outline="0" fieldPosition="0">
        <references count="2">
          <reference field="4294967294" count="1" selected="0">
            <x v="1"/>
          </reference>
          <reference field="0" count="1" selected="0">
            <x v="21"/>
          </reference>
        </references>
      </pivotArea>
    </chartFormat>
    <chartFormat chart="16" format="305">
      <pivotArea type="data" outline="0" fieldPosition="0">
        <references count="2">
          <reference field="4294967294" count="1" selected="0">
            <x v="1"/>
          </reference>
          <reference field="0" count="1" selected="0">
            <x v="22"/>
          </reference>
        </references>
      </pivotArea>
    </chartFormat>
    <chartFormat chart="16" format="306">
      <pivotArea type="data" outline="0" fieldPosition="0">
        <references count="2">
          <reference field="4294967294" count="1" selected="0">
            <x v="1"/>
          </reference>
          <reference field="0" count="1" selected="0">
            <x v="23"/>
          </reference>
        </references>
      </pivotArea>
    </chartFormat>
    <chartFormat chart="16" format="307">
      <pivotArea type="data" outline="0" fieldPosition="0">
        <references count="2">
          <reference field="4294967294" count="1" selected="0">
            <x v="1"/>
          </reference>
          <reference field="0" count="1" selected="0">
            <x v="24"/>
          </reference>
        </references>
      </pivotArea>
    </chartFormat>
    <chartFormat chart="16" format="308">
      <pivotArea type="data" outline="0" fieldPosition="0">
        <references count="2">
          <reference field="4294967294" count="1" selected="0">
            <x v="1"/>
          </reference>
          <reference field="0" count="1" selected="0">
            <x v="25"/>
          </reference>
        </references>
      </pivotArea>
    </chartFormat>
    <chartFormat chart="16" format="309">
      <pivotArea type="data" outline="0" fieldPosition="0">
        <references count="2">
          <reference field="4294967294" count="1" selected="0">
            <x v="1"/>
          </reference>
          <reference field="0" count="1" selected="0">
            <x v="26"/>
          </reference>
        </references>
      </pivotArea>
    </chartFormat>
    <chartFormat chart="16" format="310">
      <pivotArea type="data" outline="0" fieldPosition="0">
        <references count="2">
          <reference field="4294967294" count="1" selected="0">
            <x v="1"/>
          </reference>
          <reference field="0" count="1" selected="0">
            <x v="27"/>
          </reference>
        </references>
      </pivotArea>
    </chartFormat>
    <chartFormat chart="16" format="311">
      <pivotArea type="data" outline="0" fieldPosition="0">
        <references count="2">
          <reference field="4294967294" count="1" selected="0">
            <x v="1"/>
          </reference>
          <reference field="0" count="1" selected="0">
            <x v="28"/>
          </reference>
        </references>
      </pivotArea>
    </chartFormat>
    <chartFormat chart="16" format="312">
      <pivotArea type="data" outline="0" fieldPosition="0">
        <references count="2">
          <reference field="4294967294" count="1" selected="0">
            <x v="1"/>
          </reference>
          <reference field="0" count="1" selected="0">
            <x v="29"/>
          </reference>
        </references>
      </pivotArea>
    </chartFormat>
    <chartFormat chart="16" format="313">
      <pivotArea type="data" outline="0" fieldPosition="0">
        <references count="2">
          <reference field="4294967294" count="1" selected="0">
            <x v="1"/>
          </reference>
          <reference field="0" count="1" selected="0">
            <x v="30"/>
          </reference>
        </references>
      </pivotArea>
    </chartFormat>
    <chartFormat chart="16" format="314">
      <pivotArea type="data" outline="0" fieldPosition="0">
        <references count="2">
          <reference field="4294967294" count="1" selected="0">
            <x v="1"/>
          </reference>
          <reference field="0" count="1" selected="0">
            <x v="31"/>
          </reference>
        </references>
      </pivotArea>
    </chartFormat>
    <chartFormat chart="16" format="315">
      <pivotArea type="data" outline="0" fieldPosition="0">
        <references count="2">
          <reference field="4294967294" count="1" selected="0">
            <x v="1"/>
          </reference>
          <reference field="0" count="1" selected="0">
            <x v="32"/>
          </reference>
        </references>
      </pivotArea>
    </chartFormat>
    <chartFormat chart="16" format="316">
      <pivotArea type="data" outline="0" fieldPosition="0">
        <references count="2">
          <reference field="4294967294" count="1" selected="0">
            <x v="1"/>
          </reference>
          <reference field="0" count="1" selected="0">
            <x v="33"/>
          </reference>
        </references>
      </pivotArea>
    </chartFormat>
    <chartFormat chart="16" format="317">
      <pivotArea type="data" outline="0" fieldPosition="0">
        <references count="2">
          <reference field="4294967294" count="1" selected="0">
            <x v="1"/>
          </reference>
          <reference field="0" count="1" selected="0">
            <x v="34"/>
          </reference>
        </references>
      </pivotArea>
    </chartFormat>
    <chartFormat chart="16" format="318">
      <pivotArea type="data" outline="0" fieldPosition="0">
        <references count="2">
          <reference field="4294967294" count="1" selected="0">
            <x v="1"/>
          </reference>
          <reference field="0" count="1" selected="0">
            <x v="35"/>
          </reference>
        </references>
      </pivotArea>
    </chartFormat>
    <chartFormat chart="16" format="319">
      <pivotArea type="data" outline="0" fieldPosition="0">
        <references count="2">
          <reference field="4294967294" count="1" selected="0">
            <x v="1"/>
          </reference>
          <reference field="0" count="1" selected="0">
            <x v="36"/>
          </reference>
        </references>
      </pivotArea>
    </chartFormat>
    <chartFormat chart="16" format="320">
      <pivotArea type="data" outline="0" fieldPosition="0">
        <references count="2">
          <reference field="4294967294" count="1" selected="0">
            <x v="1"/>
          </reference>
          <reference field="0" count="1" selected="0">
            <x v="37"/>
          </reference>
        </references>
      </pivotArea>
    </chartFormat>
    <chartFormat chart="16" format="321">
      <pivotArea type="data" outline="0" fieldPosition="0">
        <references count="2">
          <reference field="4294967294" count="1" selected="0">
            <x v="1"/>
          </reference>
          <reference field="0" count="1" selected="0">
            <x v="38"/>
          </reference>
        </references>
      </pivotArea>
    </chartFormat>
    <chartFormat chart="18" format="4" series="1">
      <pivotArea type="data" outline="0" fieldPosition="0">
        <references count="1">
          <reference field="4294967294" count="1" selected="0">
            <x v="0"/>
          </reference>
        </references>
      </pivotArea>
    </chartFormat>
    <chartFormat chart="18"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F617F01-5794-CB44-8DDE-7DC115B40F4B}" name="PivotTable14"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W13:X53" firstHeaderRow="1" firstDataRow="1" firstDataCol="1" rowPageCount="1" colPageCount="1"/>
  <pivotFields count="26">
    <pivotField axis="axisRow" showAll="0">
      <items count="40">
        <item x="33"/>
        <item x="9"/>
        <item x="8"/>
        <item x="7"/>
        <item x="32"/>
        <item x="1"/>
        <item x="34"/>
        <item x="19"/>
        <item x="30"/>
        <item x="5"/>
        <item x="3"/>
        <item x="21"/>
        <item x="6"/>
        <item x="23"/>
        <item x="38"/>
        <item x="13"/>
        <item x="2"/>
        <item x="25"/>
        <item x="12"/>
        <item x="15"/>
        <item x="31"/>
        <item x="18"/>
        <item x="35"/>
        <item x="26"/>
        <item x="11"/>
        <item x="37"/>
        <item x="20"/>
        <item x="29"/>
        <item x="10"/>
        <item x="14"/>
        <item x="17"/>
        <item x="16"/>
        <item x="22"/>
        <item x="24"/>
        <item x="28"/>
        <item x="36"/>
        <item x="4"/>
        <item x="0"/>
        <item x="27"/>
        <item t="default"/>
      </items>
    </pivotField>
    <pivotField axis="axisPage" numFmtId="14" showAll="0">
      <items count="2">
        <item x="0"/>
        <item t="default"/>
      </items>
    </pivotField>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0" showAll="0"/>
    <pivotField showAll="0"/>
    <pivotField showAll="0"/>
    <pivotField showAll="0"/>
    <pivotField showAll="0"/>
    <pivotField numFmtId="10" showAll="0"/>
    <pivotField numFmtId="10" showAll="0"/>
  </pivotFields>
  <rowFields count="1">
    <field x="0"/>
  </rowFields>
  <rowItems count="4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t="grand">
      <x/>
    </i>
  </rowItems>
  <colItems count="1">
    <i/>
  </colItems>
  <pageFields count="1">
    <pageField fld="1" hier="-1"/>
  </pageFields>
  <dataFields count="1">
    <dataField name="Sum of Daily_Change_Percent2"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51B6BF99-2AA9-8847-87D0-81AFF99112B6}" name="PivotTable13"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N7:O47" firstHeaderRow="1" firstDataRow="1" firstDataCol="1"/>
  <pivotFields count="26">
    <pivotField axis="axisRow" showAll="0">
      <items count="40">
        <item x="33"/>
        <item x="9"/>
        <item x="8"/>
        <item x="7"/>
        <item x="32"/>
        <item x="1"/>
        <item x="34"/>
        <item x="19"/>
        <item x="30"/>
        <item x="5"/>
        <item x="3"/>
        <item x="21"/>
        <item x="6"/>
        <item x="23"/>
        <item x="38"/>
        <item x="13"/>
        <item x="2"/>
        <item x="25"/>
        <item x="12"/>
        <item x="15"/>
        <item x="31"/>
        <item x="18"/>
        <item x="35"/>
        <item x="26"/>
        <item x="11"/>
        <item x="37"/>
        <item x="20"/>
        <item x="29"/>
        <item x="10"/>
        <item x="14"/>
        <item x="17"/>
        <item x="16"/>
        <item x="22"/>
        <item x="24"/>
        <item x="28"/>
        <item x="36"/>
        <item x="4"/>
        <item x="0"/>
        <item x="27"/>
        <item t="default"/>
      </items>
    </pivotField>
    <pivotField numFmtId="14" showAll="0">
      <items count="2">
        <item x="0"/>
        <item t="default"/>
      </items>
    </pivotField>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0" showAll="0"/>
    <pivotField showAll="0"/>
    <pivotField showAll="0"/>
    <pivotField showAll="0"/>
    <pivotField showAll="0"/>
    <pivotField numFmtId="10" showAll="0"/>
    <pivotField numFmtId="10" showAll="0"/>
  </pivotFields>
  <rowFields count="1">
    <field x="0"/>
  </rowFields>
  <rowItems count="4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t="grand">
      <x/>
    </i>
  </rowItems>
  <colItems count="1">
    <i/>
  </colItems>
  <dataFields count="1">
    <dataField name="Sum of Market_Cap_Trillion_USD" fld="5" baseField="0" baseItem="0"/>
  </dataFields>
  <chartFormats count="2">
    <chartFormat chart="4" format="0"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D4ECBB00-645F-F749-9287-18818085E861}" name="PivotTable12"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43" firstHeaderRow="1" firstDataRow="1" firstDataCol="1" rowPageCount="1" colPageCount="1"/>
  <pivotFields count="26">
    <pivotField axis="axisRow" showAll="0">
      <items count="40">
        <item x="33"/>
        <item x="9"/>
        <item x="8"/>
        <item x="7"/>
        <item x="32"/>
        <item x="1"/>
        <item x="34"/>
        <item x="19"/>
        <item x="30"/>
        <item x="5"/>
        <item x="3"/>
        <item x="21"/>
        <item x="6"/>
        <item x="23"/>
        <item x="38"/>
        <item x="13"/>
        <item x="2"/>
        <item x="25"/>
        <item x="12"/>
        <item x="15"/>
        <item x="31"/>
        <item x="18"/>
        <item x="35"/>
        <item x="26"/>
        <item x="11"/>
        <item x="37"/>
        <item x="20"/>
        <item x="29"/>
        <item x="10"/>
        <item x="14"/>
        <item x="17"/>
        <item x="16"/>
        <item x="22"/>
        <item x="24"/>
        <item x="28"/>
        <item x="36"/>
        <item x="4"/>
        <item x="0"/>
        <item x="27"/>
        <item t="default"/>
      </items>
    </pivotField>
    <pivotField axis="axisPage" numFmtId="14" showAll="0">
      <items count="2">
        <item x="0"/>
        <item t="default"/>
      </items>
    </pivotField>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0" showAll="0"/>
    <pivotField showAll="0"/>
    <pivotField showAll="0"/>
    <pivotField showAll="0"/>
    <pivotField showAll="0"/>
    <pivotField numFmtId="10" showAll="0"/>
    <pivotField numFmtId="10" showAll="0"/>
  </pivotFields>
  <rowFields count="1">
    <field x="0"/>
  </rowFields>
  <rowItems count="4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t="grand">
      <x/>
    </i>
  </rowItems>
  <colItems count="1">
    <i/>
  </colItems>
  <pageFields count="1">
    <pageField fld="1" hier="-1"/>
  </pageFields>
  <dataFields count="1">
    <dataField name="Sum of Daily_Change_Percent" fld="4" baseField="0" baseItem="0"/>
  </dataFields>
  <chartFormats count="2">
    <chartFormat chart="1" format="0"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anking_Sector_Health" xr10:uid="{82F0A550-FDCC-B34F-AD3C-DFE6494009B5}" sourceName="Banking_Sector_Health">
  <pivotTables>
    <pivotTable tabId="12" name="PivotTable23"/>
  </pivotTables>
  <data>
    <tabular pivotCacheId="813171282">
      <items count="3">
        <i x="1"/>
        <i x="0" s="1"/>
        <i x="2"/>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anking_Sector_Health" xr10:uid="{C84329FB-D30B-6345-A373-21197D176151}" cache="Slicer_Banking_Sector_Health" caption="Banking_Sector_Health"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581D3FFB-C8C9-F244-8AB5-1C099869CBBA}" name="Table8" displayName="Table8" ref="E1:G7" totalsRowShown="0" headerRowDxfId="19" headerRowBorderDxfId="23" tableBorderDxfId="24" totalsRowBorderDxfId="22">
  <autoFilter ref="E1:G7" xr:uid="{581D3FFB-C8C9-F244-8AB5-1C099869CBBA}"/>
  <tableColumns count="3">
    <tableColumn id="1" xr3:uid="{31B1C4FA-A68C-8243-B54D-C6917C5221D6}" name="OrderID" dataDxfId="21"/>
    <tableColumn id="2" xr3:uid="{85299B3D-F91F-2048-8585-2DF38C230027}" name="Region" dataDxfId="20"/>
    <tableColumn id="3" xr3:uid="{B4C5ABD2-0762-1547-B68A-424D35FD5ADA}" name="Sales" dataDxfId="18"/>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9AE21824-E003-BD4A-A253-6704AEA4BAE5}" name="Table810" displayName="Table810" ref="A43:D49" totalsRowShown="0" headerRowDxfId="17" headerRowBorderDxfId="15" tableBorderDxfId="16" totalsRowBorderDxfId="14">
  <autoFilter ref="A43:D49" xr:uid="{9AE21824-E003-BD4A-A253-6704AEA4BAE5}"/>
  <tableColumns count="4">
    <tableColumn id="1" xr3:uid="{660851CF-3D9B-534D-A644-9EABBF0EB2C7}" name="OrderID" dataDxfId="13"/>
    <tableColumn id="2" xr3:uid="{6857ED1A-E80D-6440-A6D3-2F0240306C52}" name="Region" dataDxfId="12"/>
    <tableColumn id="3" xr3:uid="{979C6352-8D30-2845-85B4-AA29A39A3AA0}" name="Sales" dataDxfId="11"/>
    <tableColumn id="5" xr3:uid="{6A0C3F75-25B8-C54A-BC6E-29335A4C5C74}" name="Profit" dataDxfId="10">
      <calculatedColumnFormula>Table810[[#This Row],[Sales]]*0.2</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E93D5C3D-4723-784C-87CB-02A620D1AB81}" name="Table10" displayName="Table10" ref="A29:C35" totalsRowShown="0" headerRowDxfId="3" headerRowBorderDxfId="8" tableBorderDxfId="9" totalsRowBorderDxfId="7">
  <autoFilter ref="A29:C35" xr:uid="{E93D5C3D-4723-784C-87CB-02A620D1AB81}"/>
  <tableColumns count="3">
    <tableColumn id="1" xr3:uid="{3A989BF3-77BF-2948-B641-1D0E5438F772}" name="OrderID" dataDxfId="6"/>
    <tableColumn id="2" xr3:uid="{F629C05A-47F5-BB49-A77C-5BB3AB44CA4A}" name="Region" dataDxfId="5"/>
    <tableColumn id="3" xr3:uid="{CCA9818E-ACE6-6B4F-8B50-01336E19175A}" name="Sales" dataDxfId="4"/>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17CB1B4-46BD-8144-B5CD-41C95399159B}" name="Table4" displayName="Table4" ref="A1:Z40" totalsRowShown="0">
  <autoFilter ref="A1:Z40" xr:uid="{217CB1B4-46BD-8144-B5CD-41C95399159B}"/>
  <sortState xmlns:xlrd2="http://schemas.microsoft.com/office/spreadsheetml/2017/richdata2" ref="A2:Z40">
    <sortCondition descending="1" ref="E1:E40"/>
  </sortState>
  <tableColumns count="26">
    <tableColumn id="1" xr3:uid="{67B278BD-A399-F243-AFB4-F7142B21BECB}" name="Country" dataDxfId="31"/>
    <tableColumn id="2" xr3:uid="{8185D6B7-10C5-4B48-9DF2-944DBB9BCABB}" name="Date" dataDxfId="30"/>
    <tableColumn id="3" xr3:uid="{35F6CAB4-F48E-E742-87E6-D84AFC438BAF}" name="Stock_Index" dataDxfId="29"/>
    <tableColumn id="4" xr3:uid="{18BC46E8-361A-AF4E-A8CC-1BA4F76AEA0C}" name="Index_Value"/>
    <tableColumn id="5" xr3:uid="{90B5A5A1-F4A3-7C4E-B35C-89F0BE1BA3DF}" name="Daily_Change_Percent"/>
    <tableColumn id="6" xr3:uid="{39DB7C7D-4D67-9141-A24F-EF23D2515BAA}" name="Market_Cap_Trillion_USD"/>
    <tableColumn id="7" xr3:uid="{18B7D11A-5268-4540-9698-292C274920B2}" name="GDP_Growth_Rate_Percent"/>
    <tableColumn id="8" xr3:uid="{22153CAD-B193-614C-981E-16D3233EDACD}" name="Inflation_Rate_Percent"/>
    <tableColumn id="9" xr3:uid="{0EF14D5E-DAAC-4C4E-A337-12802DE198A7}" name="Interest_Rate_Percent"/>
    <tableColumn id="10" xr3:uid="{2585E6E1-405C-634E-8CA6-9EDF9961855C}" name="Unemployment_Rate_Percent"/>
    <tableColumn id="11" xr3:uid="{E1C14176-46BD-CD41-884E-AF7756026AE1}" name="Currency_Code" dataDxfId="28"/>
    <tableColumn id="12" xr3:uid="{79DBD81E-9A93-544F-A3B5-FA94FFDB234F}" name="Exchange_Rate_USD"/>
    <tableColumn id="13" xr3:uid="{5B4FF266-2062-1B4B-AD36-7B2D45DD62B7}" name="Currency_Change_YTD_Percent"/>
    <tableColumn id="14" xr3:uid="{9AFBD331-1F9A-9248-820E-C8D10DD63292}" name="Government_Debt_GDP_Percent"/>
    <tableColumn id="15" xr3:uid="{A830AF5D-7CDE-4844-81EC-614B21B63E0E}" name="Current_Account_Balance_Billion_USD"/>
    <tableColumn id="16" xr3:uid="{3AA5B38C-437A-5241-B0F5-780616F8AD1C}" name="FDI_Inflow_Billion_USD"/>
    <tableColumn id="17" xr3:uid="{37EA0F5C-1AA9-1B49-BC33-8D49EF106CD8}" name="Commodity_Index"/>
    <tableColumn id="18" xr3:uid="{C1337E6E-6C04-7D4E-B9EA-D4C8923CF2E6}" name="Oil_Price_USD_Barrel"/>
    <tableColumn id="19" xr3:uid="{B4999032-D1BC-4341-AC4B-8CD86A22C8A1}" name="Gold_Price_USD_Ounce"/>
    <tableColumn id="20" xr3:uid="{FF818C2B-E265-2F42-B587-4A87F5B5ACB7}" name="Bond_Yield_10Y_Percent" dataDxfId="27"/>
    <tableColumn id="21" xr3:uid="{46CC8306-6E8C-BE41-B074-308AC02F785E}" name="Credit_Rating"/>
    <tableColumn id="22" xr3:uid="{2FFB4A15-9A28-404A-A2BB-B44315AEF958}" name="Political_Risk_Score"/>
    <tableColumn id="23" xr3:uid="{83ACE57B-7462-0F49-8BDB-BB0B14AC85B8}" name="Banking_Sector_Health"/>
    <tableColumn id="24" xr3:uid="{9CCC52F1-592B-5A4B-A772-4C456F325019}" name="Real_Estate_Index"/>
    <tableColumn id="25" xr3:uid="{D4303A22-12EC-1249-BD48-66D8C898249D}" name="Export_Growth_Percent" dataDxfId="26"/>
    <tableColumn id="26" xr3:uid="{DE8E0E7B-1257-2A46-BB4B-464CA3CC87CA}" name="Import_Growth_Percent" dataDxfId="25"/>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ivotTable" Target="../pivotTables/pivotTable1.xml"/><Relationship Id="rId4" Type="http://schemas.openxmlformats.org/officeDocument/2006/relationships/table" Target="../tables/table3.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8" Type="http://schemas.openxmlformats.org/officeDocument/2006/relationships/pivotTable" Target="../pivotTables/pivotTable9.xml"/><Relationship Id="rId13" Type="http://schemas.openxmlformats.org/officeDocument/2006/relationships/drawing" Target="../drawings/drawing2.xml"/><Relationship Id="rId3" Type="http://schemas.openxmlformats.org/officeDocument/2006/relationships/pivotTable" Target="../pivotTables/pivotTable4.xml"/><Relationship Id="rId7" Type="http://schemas.openxmlformats.org/officeDocument/2006/relationships/pivotTable" Target="../pivotTables/pivotTable8.xml"/><Relationship Id="rId12" Type="http://schemas.openxmlformats.org/officeDocument/2006/relationships/pivotTable" Target="../pivotTables/pivotTable13.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11" Type="http://schemas.openxmlformats.org/officeDocument/2006/relationships/pivotTable" Target="../pivotTables/pivotTable12.xml"/><Relationship Id="rId5" Type="http://schemas.openxmlformats.org/officeDocument/2006/relationships/pivotTable" Target="../pivotTables/pivotTable6.xml"/><Relationship Id="rId10" Type="http://schemas.openxmlformats.org/officeDocument/2006/relationships/pivotTable" Target="../pivotTables/pivotTable11.xml"/><Relationship Id="rId4" Type="http://schemas.openxmlformats.org/officeDocument/2006/relationships/pivotTable" Target="../pivotTables/pivotTable5.xml"/><Relationship Id="rId9" Type="http://schemas.openxmlformats.org/officeDocument/2006/relationships/pivotTable" Target="../pivotTables/pivotTable10.xml"/><Relationship Id="rId1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514826-2C12-C346-AB3B-1798E8803F58}">
  <dimension ref="A2:A31"/>
  <sheetViews>
    <sheetView workbookViewId="0">
      <selection activeCell="G7" sqref="G7"/>
    </sheetView>
  </sheetViews>
  <sheetFormatPr baseColWidth="10" defaultRowHeight="16"/>
  <cols>
    <col min="1" max="1" width="48.83203125" customWidth="1"/>
    <col min="2" max="2" width="10.83203125" customWidth="1"/>
  </cols>
  <sheetData>
    <row r="2" spans="1:1" ht="18">
      <c r="A2" s="1" t="s">
        <v>0</v>
      </c>
    </row>
    <row r="3" spans="1:1" ht="18">
      <c r="A3" s="1" t="s">
        <v>1</v>
      </c>
    </row>
    <row r="4" spans="1:1" ht="18">
      <c r="A4" s="1" t="s">
        <v>2</v>
      </c>
    </row>
    <row r="5" spans="1:1" ht="18">
      <c r="A5" s="1" t="s">
        <v>3</v>
      </c>
    </row>
    <row r="6" spans="1:1" ht="18">
      <c r="A6" s="1" t="s">
        <v>4</v>
      </c>
    </row>
    <row r="7" spans="1:1" ht="18">
      <c r="A7" s="1" t="s">
        <v>5</v>
      </c>
    </row>
    <row r="8" spans="1:1" ht="18">
      <c r="A8" s="1" t="s">
        <v>6</v>
      </c>
    </row>
    <row r="9" spans="1:1" ht="18">
      <c r="A9" s="1" t="s">
        <v>7</v>
      </c>
    </row>
    <row r="10" spans="1:1" ht="18">
      <c r="A10" s="1" t="s">
        <v>8</v>
      </c>
    </row>
    <row r="11" spans="1:1" ht="18">
      <c r="A11" s="1" t="s">
        <v>9</v>
      </c>
    </row>
    <row r="12" spans="1:1" ht="18">
      <c r="A12" s="1" t="s">
        <v>10</v>
      </c>
    </row>
    <row r="13" spans="1:1" ht="18">
      <c r="A13" s="1" t="s">
        <v>11</v>
      </c>
    </row>
    <row r="14" spans="1:1" ht="18">
      <c r="A14" s="1" t="s">
        <v>12</v>
      </c>
    </row>
    <row r="15" spans="1:1" ht="18">
      <c r="A15" s="1" t="s">
        <v>13</v>
      </c>
    </row>
    <row r="16" spans="1:1" ht="18">
      <c r="A16" s="1" t="s">
        <v>14</v>
      </c>
    </row>
    <row r="17" spans="1:1" ht="18">
      <c r="A17" s="1" t="s">
        <v>15</v>
      </c>
    </row>
    <row r="18" spans="1:1" ht="18">
      <c r="A18" s="1" t="s">
        <v>16</v>
      </c>
    </row>
    <row r="19" spans="1:1" ht="18">
      <c r="A19" s="1" t="s">
        <v>17</v>
      </c>
    </row>
    <row r="20" spans="1:1" ht="18">
      <c r="A20" s="1" t="s">
        <v>18</v>
      </c>
    </row>
    <row r="21" spans="1:1" ht="18">
      <c r="A21" s="1" t="s">
        <v>19</v>
      </c>
    </row>
    <row r="22" spans="1:1" ht="18">
      <c r="A22" s="1" t="s">
        <v>20</v>
      </c>
    </row>
    <row r="23" spans="1:1" ht="18">
      <c r="A23" s="1" t="s">
        <v>21</v>
      </c>
    </row>
    <row r="24" spans="1:1" ht="18">
      <c r="A24" s="1" t="s">
        <v>22</v>
      </c>
    </row>
    <row r="25" spans="1:1" ht="18">
      <c r="A25" s="1" t="s">
        <v>23</v>
      </c>
    </row>
    <row r="26" spans="1:1" ht="18">
      <c r="A26" s="1" t="s">
        <v>24</v>
      </c>
    </row>
    <row r="27" spans="1:1" ht="18">
      <c r="A27" s="1" t="s">
        <v>25</v>
      </c>
    </row>
    <row r="28" spans="1:1" ht="18">
      <c r="A28" s="1" t="s">
        <v>26</v>
      </c>
    </row>
    <row r="29" spans="1:1" ht="18">
      <c r="A29" s="1" t="s">
        <v>27</v>
      </c>
    </row>
    <row r="30" spans="1:1" ht="18">
      <c r="A30" s="1" t="s">
        <v>28</v>
      </c>
    </row>
    <row r="31" spans="1:1" ht="18">
      <c r="A31" s="1" t="s">
        <v>29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880D9-E9E4-8C4D-942F-CF7598D486A8}">
  <dimension ref="A1:P49"/>
  <sheetViews>
    <sheetView topLeftCell="A10" zoomScale="74" workbookViewId="0">
      <selection activeCell="H24" sqref="H24"/>
    </sheetView>
  </sheetViews>
  <sheetFormatPr baseColWidth="10" defaultRowHeight="16"/>
  <sheetData>
    <row r="1" spans="1:16" ht="35" thickBot="1">
      <c r="A1" s="7" t="s">
        <v>30</v>
      </c>
      <c r="B1" s="7" t="s">
        <v>31</v>
      </c>
      <c r="C1" s="7" t="s">
        <v>32</v>
      </c>
      <c r="E1" s="15" t="s">
        <v>45</v>
      </c>
      <c r="F1" s="16" t="s">
        <v>46</v>
      </c>
      <c r="G1" s="17" t="s">
        <v>42</v>
      </c>
      <c r="O1" s="7" t="s">
        <v>42</v>
      </c>
      <c r="P1" s="7" t="s">
        <v>51</v>
      </c>
    </row>
    <row r="2" spans="1:16" ht="18" thickBot="1">
      <c r="A2" s="2">
        <v>101</v>
      </c>
      <c r="B2" s="2" t="s">
        <v>33</v>
      </c>
      <c r="C2" s="2" t="s">
        <v>34</v>
      </c>
      <c r="E2" s="13">
        <v>1001</v>
      </c>
      <c r="F2" s="2" t="s">
        <v>47</v>
      </c>
      <c r="G2" s="14">
        <v>50000</v>
      </c>
      <c r="O2" s="2">
        <v>20000</v>
      </c>
      <c r="P2" s="2">
        <v>4000</v>
      </c>
    </row>
    <row r="3" spans="1:16" ht="18" thickBot="1">
      <c r="A3" s="2">
        <v>102</v>
      </c>
      <c r="B3" s="2" t="s">
        <v>35</v>
      </c>
      <c r="C3" s="2" t="s">
        <v>36</v>
      </c>
      <c r="E3" s="13">
        <v>1002</v>
      </c>
      <c r="F3" s="2" t="s">
        <v>48</v>
      </c>
      <c r="G3" s="14">
        <v>52000</v>
      </c>
      <c r="O3" s="2">
        <v>30000</v>
      </c>
      <c r="P3" s="2">
        <v>6000</v>
      </c>
    </row>
    <row r="4" spans="1:16" ht="18" thickBot="1">
      <c r="A4" s="2">
        <v>103</v>
      </c>
      <c r="B4" s="2" t="s">
        <v>37</v>
      </c>
      <c r="C4" s="2" t="s">
        <v>38</v>
      </c>
      <c r="E4" s="13">
        <v>1003</v>
      </c>
      <c r="F4" s="2" t="s">
        <v>49</v>
      </c>
      <c r="G4" s="14">
        <v>67000</v>
      </c>
      <c r="O4" s="2">
        <v>40000</v>
      </c>
      <c r="P4" s="2">
        <v>8000</v>
      </c>
    </row>
    <row r="5" spans="1:16" ht="18" thickBot="1">
      <c r="A5" s="2">
        <v>104</v>
      </c>
      <c r="B5" s="2" t="s">
        <v>39</v>
      </c>
      <c r="C5" s="2" t="s">
        <v>40</v>
      </c>
      <c r="E5" s="13">
        <v>1004</v>
      </c>
      <c r="F5" s="2" t="s">
        <v>50</v>
      </c>
      <c r="G5" s="14">
        <v>48000</v>
      </c>
      <c r="O5" s="2">
        <v>50000</v>
      </c>
      <c r="P5" s="2">
        <v>10000</v>
      </c>
    </row>
    <row r="6" spans="1:16" ht="18" thickBot="1">
      <c r="A6" s="2">
        <v>105</v>
      </c>
      <c r="B6" s="2" t="s">
        <v>41</v>
      </c>
      <c r="C6" s="2" t="s">
        <v>42</v>
      </c>
      <c r="E6" s="13">
        <v>1005</v>
      </c>
      <c r="F6" s="2" t="s">
        <v>47</v>
      </c>
      <c r="G6" s="14">
        <v>72000</v>
      </c>
      <c r="O6" s="2">
        <v>60000</v>
      </c>
      <c r="P6" s="2">
        <v>12000</v>
      </c>
    </row>
    <row r="7" spans="1:16" ht="18" thickBot="1">
      <c r="A7" s="2">
        <v>106</v>
      </c>
      <c r="B7" s="2" t="s">
        <v>43</v>
      </c>
      <c r="C7" s="2" t="s">
        <v>44</v>
      </c>
      <c r="E7" s="18">
        <v>1006</v>
      </c>
      <c r="F7" s="19" t="s">
        <v>48</v>
      </c>
      <c r="G7" s="20">
        <v>35000</v>
      </c>
    </row>
    <row r="10" spans="1:16">
      <c r="A10" s="6" t="s">
        <v>52</v>
      </c>
      <c r="B10" s="6"/>
      <c r="C10" s="6"/>
      <c r="D10" s="6"/>
      <c r="E10" s="6"/>
      <c r="F10" s="6"/>
      <c r="G10" s="6"/>
      <c r="H10" s="6"/>
    </row>
    <row r="12" spans="1:16">
      <c r="A12" t="str">
        <f>VLOOKUP(105, A2:D6, 3, FALSE)</f>
        <v>Sales</v>
      </c>
    </row>
    <row r="14" spans="1:16">
      <c r="A14" s="6" t="s">
        <v>53</v>
      </c>
      <c r="B14" s="6"/>
      <c r="C14" s="6"/>
      <c r="D14" s="6"/>
      <c r="E14" s="6"/>
      <c r="F14" s="6"/>
      <c r="G14" s="6"/>
      <c r="H14" s="6"/>
    </row>
    <row r="17" spans="1:7">
      <c r="A17" s="3" t="s">
        <v>57</v>
      </c>
      <c r="B17" t="s">
        <v>59</v>
      </c>
    </row>
    <row r="18" spans="1:7">
      <c r="A18" s="4" t="s">
        <v>49</v>
      </c>
      <c r="B18" s="5">
        <v>67000</v>
      </c>
    </row>
    <row r="19" spans="1:7">
      <c r="A19" s="4" t="s">
        <v>47</v>
      </c>
      <c r="B19" s="5">
        <v>117000</v>
      </c>
    </row>
    <row r="20" spans="1:7">
      <c r="A20" s="4" t="s">
        <v>48</v>
      </c>
      <c r="B20" s="5">
        <v>87000</v>
      </c>
    </row>
    <row r="21" spans="1:7">
      <c r="A21" s="4" t="s">
        <v>50</v>
      </c>
      <c r="B21" s="5">
        <v>48000</v>
      </c>
    </row>
    <row r="22" spans="1:7">
      <c r="A22" s="4" t="s">
        <v>58</v>
      </c>
      <c r="B22" s="5">
        <v>319000</v>
      </c>
    </row>
    <row r="25" spans="1:7">
      <c r="A25" s="6" t="s">
        <v>54</v>
      </c>
      <c r="B25" s="6"/>
      <c r="C25" s="6"/>
      <c r="D25" s="6"/>
      <c r="E25" s="6"/>
      <c r="F25" s="6"/>
      <c r="G25" s="6"/>
    </row>
    <row r="27" spans="1:7">
      <c r="A27" t="b">
        <f>G1&gt;50000</f>
        <v>1</v>
      </c>
    </row>
    <row r="29" spans="1:7" ht="18" thickBot="1">
      <c r="A29" s="22" t="s">
        <v>45</v>
      </c>
      <c r="B29" s="23" t="s">
        <v>46</v>
      </c>
      <c r="C29" s="24" t="s">
        <v>42</v>
      </c>
    </row>
    <row r="30" spans="1:7" ht="18" thickBot="1">
      <c r="A30" s="13">
        <v>1001</v>
      </c>
      <c r="B30" s="2" t="s">
        <v>47</v>
      </c>
      <c r="C30" s="14">
        <v>45000</v>
      </c>
    </row>
    <row r="31" spans="1:7" ht="18" thickBot="1">
      <c r="A31" s="13">
        <v>1002</v>
      </c>
      <c r="B31" s="2" t="s">
        <v>48</v>
      </c>
      <c r="C31" s="21">
        <v>52000</v>
      </c>
    </row>
    <row r="32" spans="1:7" ht="18" thickBot="1">
      <c r="A32" s="13">
        <v>1003</v>
      </c>
      <c r="B32" s="2" t="s">
        <v>49</v>
      </c>
      <c r="C32" s="21">
        <v>67000</v>
      </c>
    </row>
    <row r="33" spans="1:9" ht="18" thickBot="1">
      <c r="A33" s="13">
        <v>1004</v>
      </c>
      <c r="B33" s="2" t="s">
        <v>50</v>
      </c>
      <c r="C33" s="14">
        <v>48000</v>
      </c>
    </row>
    <row r="34" spans="1:9" ht="18" thickBot="1">
      <c r="A34" s="13">
        <v>1005</v>
      </c>
      <c r="B34" s="2" t="s">
        <v>47</v>
      </c>
      <c r="C34" s="21">
        <v>72000</v>
      </c>
    </row>
    <row r="35" spans="1:9" ht="17">
      <c r="A35" s="18">
        <v>1006</v>
      </c>
      <c r="B35" s="19" t="s">
        <v>48</v>
      </c>
      <c r="C35" s="20">
        <v>35000</v>
      </c>
    </row>
    <row r="37" spans="1:9">
      <c r="A37" s="6" t="s">
        <v>55</v>
      </c>
      <c r="B37" s="6"/>
      <c r="C37" s="6"/>
      <c r="D37" s="6"/>
      <c r="E37" s="6"/>
      <c r="F37" s="6"/>
    </row>
    <row r="39" spans="1:9">
      <c r="A39" t="str">
        <f ca="1">TEXT(TODAY(),"DD-MMM-YYYY")</f>
        <v>19-Sep-2025</v>
      </c>
    </row>
    <row r="41" spans="1:9">
      <c r="A41" s="6" t="s">
        <v>56</v>
      </c>
      <c r="B41" s="6"/>
      <c r="C41" s="6"/>
      <c r="D41" s="6"/>
      <c r="E41" s="6"/>
      <c r="F41" s="6"/>
      <c r="G41" s="6"/>
      <c r="H41" s="6"/>
      <c r="I41" s="6"/>
    </row>
    <row r="43" spans="1:9" ht="18" thickBot="1">
      <c r="A43" s="15" t="s">
        <v>45</v>
      </c>
      <c r="B43" s="16" t="s">
        <v>46</v>
      </c>
      <c r="C43" s="17" t="s">
        <v>42</v>
      </c>
      <c r="D43" s="16" t="s">
        <v>51</v>
      </c>
    </row>
    <row r="44" spans="1:9" ht="18" thickBot="1">
      <c r="A44" s="13">
        <v>1001</v>
      </c>
      <c r="B44" s="2" t="s">
        <v>47</v>
      </c>
      <c r="C44" s="14">
        <v>50000</v>
      </c>
      <c r="D44" s="14">
        <f>Table810[[#This Row],[Sales]]*0.2</f>
        <v>10000</v>
      </c>
    </row>
    <row r="45" spans="1:9" ht="18" thickBot="1">
      <c r="A45" s="13">
        <v>1002</v>
      </c>
      <c r="B45" s="2" t="s">
        <v>48</v>
      </c>
      <c r="C45" s="14">
        <v>52000</v>
      </c>
      <c r="D45" s="14">
        <f>Table810[[#This Row],[Sales]]*0.2</f>
        <v>10400</v>
      </c>
    </row>
    <row r="46" spans="1:9" ht="18" thickBot="1">
      <c r="A46" s="13">
        <v>1003</v>
      </c>
      <c r="B46" s="2" t="s">
        <v>49</v>
      </c>
      <c r="C46" s="14">
        <v>67000</v>
      </c>
      <c r="D46" s="14">
        <f>Table810[[#This Row],[Sales]]*0.2</f>
        <v>13400</v>
      </c>
    </row>
    <row r="47" spans="1:9" ht="18" thickBot="1">
      <c r="A47" s="13">
        <v>1004</v>
      </c>
      <c r="B47" s="2" t="s">
        <v>50</v>
      </c>
      <c r="C47" s="14">
        <v>48000</v>
      </c>
      <c r="D47" s="14">
        <f>Table810[[#This Row],[Sales]]*0.2</f>
        <v>9600</v>
      </c>
    </row>
    <row r="48" spans="1:9" ht="18" thickBot="1">
      <c r="A48" s="13">
        <v>1005</v>
      </c>
      <c r="B48" s="2" t="s">
        <v>47</v>
      </c>
      <c r="C48" s="14">
        <v>72000</v>
      </c>
      <c r="D48" s="14">
        <f>Table810[[#This Row],[Sales]]*0.2</f>
        <v>14400</v>
      </c>
    </row>
    <row r="49" spans="1:4" ht="17">
      <c r="A49" s="18">
        <v>1006</v>
      </c>
      <c r="B49" s="19" t="s">
        <v>48</v>
      </c>
      <c r="C49" s="20">
        <v>35000</v>
      </c>
      <c r="D49" s="20">
        <f>Table810[[#This Row],[Sales]]*0.2</f>
        <v>7000</v>
      </c>
    </row>
  </sheetData>
  <pageMargins left="0.7" right="0.7" top="0.75" bottom="0.75" header="0.3" footer="0.3"/>
  <tableParts count="3">
    <tablePart r:id="rId2"/>
    <tablePart r:id="rId3"/>
    <tablePart r:id="rId4"/>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FD5D9E-BF2F-9242-B5A4-4B99402D8D46}">
  <dimension ref="A1"/>
  <sheetViews>
    <sheetView showGridLines="0" showRowColHeaders="0" tabSelected="1" topLeftCell="B1" zoomScale="50" zoomScaleNormal="50" workbookViewId="0">
      <selection activeCell="AC100" sqref="AC100"/>
    </sheetView>
  </sheetViews>
  <sheetFormatPr baseColWidth="10" defaultRowHeight="16"/>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B3AEBB-7D80-604C-BE82-74DBA8166B46}">
  <dimension ref="A1:Z40"/>
  <sheetViews>
    <sheetView topLeftCell="H1" zoomScale="68" workbookViewId="0">
      <selection activeCell="N58" sqref="N58"/>
    </sheetView>
  </sheetViews>
  <sheetFormatPr baseColWidth="10" defaultRowHeight="16"/>
  <cols>
    <col min="3" max="3" width="13.5" customWidth="1"/>
    <col min="4" max="4" width="13.6640625" customWidth="1"/>
    <col min="5" max="5" width="22" customWidth="1"/>
    <col min="6" max="6" width="24.83203125" customWidth="1"/>
    <col min="7" max="7" width="26.33203125" customWidth="1"/>
    <col min="8" max="8" width="22.5" customWidth="1"/>
    <col min="9" max="9" width="22" customWidth="1"/>
    <col min="10" max="10" width="28.5" customWidth="1"/>
    <col min="11" max="11" width="15.6640625" customWidth="1"/>
    <col min="12" max="12" width="20.83203125" customWidth="1"/>
    <col min="13" max="13" width="29.1640625" customWidth="1"/>
    <col min="14" max="14" width="30.6640625" customWidth="1"/>
    <col min="15" max="15" width="35.33203125" customWidth="1"/>
    <col min="16" max="16" width="23.33203125" customWidth="1"/>
    <col min="17" max="17" width="18.6640625" customWidth="1"/>
    <col min="18" max="18" width="21.5" customWidth="1"/>
    <col min="19" max="19" width="23.1640625" customWidth="1"/>
    <col min="20" max="20" width="23.83203125" customWidth="1"/>
    <col min="21" max="21" width="15" customWidth="1"/>
    <col min="22" max="22" width="20" customWidth="1"/>
    <col min="23" max="23" width="22.83203125" customWidth="1"/>
    <col min="24" max="24" width="18.83203125" customWidth="1"/>
    <col min="25" max="25" width="23.33203125" customWidth="1"/>
    <col min="26" max="26" width="23.5" customWidth="1"/>
  </cols>
  <sheetData>
    <row r="1" spans="1:26">
      <c r="A1" s="11" t="s">
        <v>60</v>
      </c>
      <c r="B1" s="8" t="s">
        <v>61</v>
      </c>
      <c r="C1" s="11" t="s">
        <v>62</v>
      </c>
      <c r="D1" s="9" t="s">
        <v>63</v>
      </c>
      <c r="E1" t="s">
        <v>64</v>
      </c>
      <c r="F1" s="9" t="s">
        <v>65</v>
      </c>
      <c r="G1" t="s">
        <v>66</v>
      </c>
      <c r="H1" t="s">
        <v>67</v>
      </c>
      <c r="I1" t="s">
        <v>68</v>
      </c>
      <c r="J1" t="s">
        <v>69</v>
      </c>
      <c r="K1" s="11" t="s">
        <v>70</v>
      </c>
      <c r="L1" t="s">
        <v>71</v>
      </c>
      <c r="M1" t="s">
        <v>72</v>
      </c>
      <c r="N1" t="s">
        <v>73</v>
      </c>
      <c r="O1" t="s">
        <v>74</v>
      </c>
      <c r="P1" t="s">
        <v>75</v>
      </c>
      <c r="Q1" t="s">
        <v>76</v>
      </c>
      <c r="R1" t="s">
        <v>77</v>
      </c>
      <c r="S1" t="s">
        <v>78</v>
      </c>
      <c r="T1" s="10" t="s">
        <v>79</v>
      </c>
      <c r="U1" t="s">
        <v>80</v>
      </c>
      <c r="V1" t="s">
        <v>81</v>
      </c>
      <c r="W1" t="s">
        <v>82</v>
      </c>
      <c r="X1" t="s">
        <v>83</v>
      </c>
      <c r="Y1" s="10" t="s">
        <v>84</v>
      </c>
      <c r="Z1" s="10" t="s">
        <v>85</v>
      </c>
    </row>
    <row r="2" spans="1:26">
      <c r="A2" s="11" t="s">
        <v>197</v>
      </c>
      <c r="B2" s="8">
        <v>45519</v>
      </c>
      <c r="C2" s="11" t="s">
        <v>198</v>
      </c>
      <c r="D2">
        <v>1567890.2</v>
      </c>
      <c r="E2">
        <v>3.45</v>
      </c>
      <c r="F2">
        <v>0.05</v>
      </c>
      <c r="G2">
        <v>-1.6</v>
      </c>
      <c r="H2">
        <v>211.4</v>
      </c>
      <c r="I2">
        <v>133</v>
      </c>
      <c r="J2">
        <v>6.2</v>
      </c>
      <c r="K2" s="11" t="s">
        <v>199</v>
      </c>
      <c r="L2">
        <v>945</v>
      </c>
      <c r="M2">
        <v>-89.7</v>
      </c>
      <c r="N2">
        <v>78.900000000000006</v>
      </c>
      <c r="O2">
        <v>-23.4</v>
      </c>
      <c r="P2">
        <v>4.5</v>
      </c>
      <c r="Q2">
        <v>0.45</v>
      </c>
      <c r="R2">
        <v>77.849999999999994</v>
      </c>
      <c r="S2">
        <v>2487.5</v>
      </c>
      <c r="T2" s="10">
        <v>89.45</v>
      </c>
      <c r="U2" t="s">
        <v>200</v>
      </c>
      <c r="V2">
        <v>2.1</v>
      </c>
      <c r="W2" t="s">
        <v>119</v>
      </c>
      <c r="X2">
        <v>34.5</v>
      </c>
      <c r="Y2" s="10">
        <v>-12.3</v>
      </c>
      <c r="Z2" s="10">
        <v>15.6</v>
      </c>
    </row>
    <row r="3" spans="1:26">
      <c r="A3" s="11" t="s">
        <v>180</v>
      </c>
      <c r="B3" s="8">
        <v>45519</v>
      </c>
      <c r="C3" s="11" t="s">
        <v>181</v>
      </c>
      <c r="D3">
        <v>10567.8</v>
      </c>
      <c r="E3">
        <v>2.34</v>
      </c>
      <c r="F3">
        <v>0.3</v>
      </c>
      <c r="G3">
        <v>3.1</v>
      </c>
      <c r="H3">
        <v>64.8</v>
      </c>
      <c r="I3">
        <v>50</v>
      </c>
      <c r="J3">
        <v>10.5</v>
      </c>
      <c r="K3" s="11" t="s">
        <v>182</v>
      </c>
      <c r="L3">
        <v>33.700000000000003</v>
      </c>
      <c r="M3">
        <v>-35.6</v>
      </c>
      <c r="N3">
        <v>32.1</v>
      </c>
      <c r="O3">
        <v>-45.6</v>
      </c>
      <c r="P3">
        <v>12.8</v>
      </c>
      <c r="Q3">
        <v>0.76</v>
      </c>
      <c r="R3">
        <v>77.849999999999994</v>
      </c>
      <c r="S3">
        <v>2487.5</v>
      </c>
      <c r="T3" s="10">
        <v>28.45</v>
      </c>
      <c r="U3" t="s">
        <v>183</v>
      </c>
      <c r="V3">
        <v>4.8</v>
      </c>
      <c r="W3" t="s">
        <v>119</v>
      </c>
      <c r="X3">
        <v>67.8</v>
      </c>
      <c r="Y3" s="10">
        <v>3.4</v>
      </c>
      <c r="Z3" s="10">
        <v>8.9</v>
      </c>
    </row>
    <row r="4" spans="1:26">
      <c r="A4" s="11" t="s">
        <v>190</v>
      </c>
      <c r="B4" s="8">
        <v>45519</v>
      </c>
      <c r="C4" s="11" t="s">
        <v>191</v>
      </c>
      <c r="D4">
        <v>98765.4</v>
      </c>
      <c r="E4">
        <v>2.1</v>
      </c>
      <c r="F4">
        <v>0.04</v>
      </c>
      <c r="G4">
        <v>3.2</v>
      </c>
      <c r="H4">
        <v>21.8</v>
      </c>
      <c r="I4">
        <v>18.75</v>
      </c>
      <c r="J4">
        <v>5.0999999999999996</v>
      </c>
      <c r="K4" s="11" t="s">
        <v>192</v>
      </c>
      <c r="L4">
        <v>1567</v>
      </c>
      <c r="M4">
        <v>-68.900000000000006</v>
      </c>
      <c r="N4">
        <v>37.1</v>
      </c>
      <c r="O4">
        <v>34.5</v>
      </c>
      <c r="P4">
        <v>2.2999999999999998</v>
      </c>
      <c r="Q4">
        <v>0.68</v>
      </c>
      <c r="R4">
        <v>77.849999999999994</v>
      </c>
      <c r="S4">
        <v>2487.5</v>
      </c>
      <c r="T4" s="10">
        <v>14.67</v>
      </c>
      <c r="U4" t="s">
        <v>193</v>
      </c>
      <c r="V4">
        <v>3.8</v>
      </c>
      <c r="W4" t="s">
        <v>119</v>
      </c>
      <c r="X4">
        <v>78.900000000000006</v>
      </c>
      <c r="Y4" s="10">
        <v>23.4</v>
      </c>
      <c r="Z4" s="10">
        <v>34.5</v>
      </c>
    </row>
    <row r="5" spans="1:26">
      <c r="A5" s="11" t="s">
        <v>115</v>
      </c>
      <c r="B5" s="8">
        <v>45519</v>
      </c>
      <c r="C5" s="11" t="s">
        <v>116</v>
      </c>
      <c r="D5">
        <v>129834.2</v>
      </c>
      <c r="E5">
        <v>1.67</v>
      </c>
      <c r="F5">
        <v>1.4</v>
      </c>
      <c r="G5">
        <v>2.1</v>
      </c>
      <c r="H5">
        <v>4.5</v>
      </c>
      <c r="I5">
        <v>10.75</v>
      </c>
      <c r="J5">
        <v>7.8</v>
      </c>
      <c r="K5" s="11" t="s">
        <v>117</v>
      </c>
      <c r="L5">
        <v>5.47</v>
      </c>
      <c r="M5">
        <v>-8.9</v>
      </c>
      <c r="N5">
        <v>87.7</v>
      </c>
      <c r="O5">
        <v>-46.9</v>
      </c>
      <c r="P5">
        <v>67.2</v>
      </c>
      <c r="Q5">
        <v>0.95</v>
      </c>
      <c r="R5">
        <v>77.849999999999994</v>
      </c>
      <c r="S5">
        <v>2487.5</v>
      </c>
      <c r="T5" s="10">
        <v>10.84</v>
      </c>
      <c r="U5" t="s">
        <v>118</v>
      </c>
      <c r="V5">
        <v>5.4</v>
      </c>
      <c r="W5" t="s">
        <v>119</v>
      </c>
      <c r="X5">
        <v>89.3</v>
      </c>
      <c r="Y5" s="10">
        <v>8.6999999999999993</v>
      </c>
      <c r="Z5" s="10">
        <v>6.9</v>
      </c>
    </row>
    <row r="6" spans="1:26">
      <c r="A6" s="11" t="s">
        <v>187</v>
      </c>
      <c r="B6" s="8">
        <v>45519</v>
      </c>
      <c r="C6" s="11" t="s">
        <v>188</v>
      </c>
      <c r="D6">
        <v>25678.9</v>
      </c>
      <c r="E6">
        <v>1.45</v>
      </c>
      <c r="F6">
        <v>0.03</v>
      </c>
      <c r="G6">
        <v>2.8</v>
      </c>
      <c r="H6">
        <v>33.1</v>
      </c>
      <c r="I6">
        <v>27.25</v>
      </c>
      <c r="J6">
        <v>7.2</v>
      </c>
      <c r="K6" s="11" t="s">
        <v>189</v>
      </c>
      <c r="L6">
        <v>30.9</v>
      </c>
      <c r="M6">
        <v>-49.7</v>
      </c>
      <c r="N6">
        <v>89.7</v>
      </c>
      <c r="O6">
        <v>-18.899999999999999</v>
      </c>
      <c r="P6">
        <v>8.9</v>
      </c>
      <c r="Q6">
        <v>0.71</v>
      </c>
      <c r="R6">
        <v>77.849999999999994</v>
      </c>
      <c r="S6">
        <v>2487.5</v>
      </c>
      <c r="T6" s="10">
        <v>19.45</v>
      </c>
      <c r="U6" t="s">
        <v>183</v>
      </c>
      <c r="V6">
        <v>4.2</v>
      </c>
      <c r="W6" t="s">
        <v>119</v>
      </c>
      <c r="X6">
        <v>56.7</v>
      </c>
      <c r="Y6" s="10">
        <v>12.3</v>
      </c>
      <c r="Z6" s="10">
        <v>23.4</v>
      </c>
    </row>
    <row r="7" spans="1:26">
      <c r="A7" s="11" t="s">
        <v>96</v>
      </c>
      <c r="B7" s="8">
        <v>45519</v>
      </c>
      <c r="C7" s="11" t="s">
        <v>97</v>
      </c>
      <c r="D7">
        <v>36789.1</v>
      </c>
      <c r="E7">
        <v>1.24</v>
      </c>
      <c r="F7">
        <v>6.8</v>
      </c>
      <c r="G7">
        <v>0.9</v>
      </c>
      <c r="H7">
        <v>2.8</v>
      </c>
      <c r="I7">
        <v>-0.1</v>
      </c>
      <c r="J7">
        <v>2.4</v>
      </c>
      <c r="K7" s="11" t="s">
        <v>98</v>
      </c>
      <c r="L7">
        <v>147.19999999999999</v>
      </c>
      <c r="M7">
        <v>-8.9</v>
      </c>
      <c r="N7">
        <v>263.10000000000002</v>
      </c>
      <c r="O7">
        <v>49.7</v>
      </c>
      <c r="P7">
        <v>23.4</v>
      </c>
      <c r="Q7">
        <v>1.05</v>
      </c>
      <c r="R7">
        <v>77.849999999999994</v>
      </c>
      <c r="S7">
        <v>2487.5</v>
      </c>
      <c r="T7" s="10">
        <v>0.89</v>
      </c>
      <c r="U7" t="s">
        <v>94</v>
      </c>
      <c r="V7">
        <v>8.4</v>
      </c>
      <c r="W7" t="s">
        <v>90</v>
      </c>
      <c r="X7">
        <v>89.3</v>
      </c>
      <c r="Y7" s="10">
        <v>5.0999999999999996</v>
      </c>
      <c r="Z7" s="10">
        <v>4.7</v>
      </c>
    </row>
    <row r="8" spans="1:26">
      <c r="A8" s="11" t="s">
        <v>177</v>
      </c>
      <c r="B8" s="8">
        <v>45519</v>
      </c>
      <c r="C8" s="11" t="s">
        <v>178</v>
      </c>
      <c r="D8">
        <v>1234.5</v>
      </c>
      <c r="E8">
        <v>1.23</v>
      </c>
      <c r="F8">
        <v>0.3</v>
      </c>
      <c r="G8">
        <v>6.4</v>
      </c>
      <c r="H8">
        <v>4.0999999999999996</v>
      </c>
      <c r="I8">
        <v>4.5</v>
      </c>
      <c r="J8">
        <v>12.3</v>
      </c>
      <c r="K8" s="11" t="s">
        <v>179</v>
      </c>
      <c r="L8">
        <v>24789</v>
      </c>
      <c r="M8">
        <v>-3.4</v>
      </c>
      <c r="N8">
        <v>43.1</v>
      </c>
      <c r="O8">
        <v>12.8</v>
      </c>
      <c r="P8">
        <v>15.6</v>
      </c>
      <c r="Q8">
        <v>0.85</v>
      </c>
      <c r="R8">
        <v>77.849999999999994</v>
      </c>
      <c r="S8">
        <v>2487.5</v>
      </c>
      <c r="T8" s="10">
        <v>2.89</v>
      </c>
      <c r="U8" t="s">
        <v>129</v>
      </c>
      <c r="V8">
        <v>6.2</v>
      </c>
      <c r="W8" t="s">
        <v>95</v>
      </c>
      <c r="X8">
        <v>123.4</v>
      </c>
      <c r="Y8" s="10">
        <v>12.8</v>
      </c>
      <c r="Z8" s="10">
        <v>14.2</v>
      </c>
    </row>
    <row r="9" spans="1:26">
      <c r="A9" s="11" t="s">
        <v>204</v>
      </c>
      <c r="B9" s="8">
        <v>45519</v>
      </c>
      <c r="C9" s="11" t="s">
        <v>205</v>
      </c>
      <c r="D9">
        <v>23456.7</v>
      </c>
      <c r="E9">
        <v>1.1200000000000001</v>
      </c>
      <c r="F9">
        <v>0.08</v>
      </c>
      <c r="G9">
        <v>2.8</v>
      </c>
      <c r="H9">
        <v>2.8</v>
      </c>
      <c r="I9">
        <v>5.75</v>
      </c>
      <c r="J9">
        <v>6.4</v>
      </c>
      <c r="K9" s="11" t="s">
        <v>206</v>
      </c>
      <c r="L9">
        <v>3.78</v>
      </c>
      <c r="M9">
        <v>-6.7</v>
      </c>
      <c r="N9">
        <v>34.200000000000003</v>
      </c>
      <c r="O9">
        <v>8.9</v>
      </c>
      <c r="P9">
        <v>6.7</v>
      </c>
      <c r="Q9">
        <v>0.91</v>
      </c>
      <c r="R9">
        <v>77.849999999999994</v>
      </c>
      <c r="S9">
        <v>2487.5</v>
      </c>
      <c r="T9" s="10">
        <v>6.78</v>
      </c>
      <c r="U9" t="s">
        <v>169</v>
      </c>
      <c r="V9">
        <v>6.7</v>
      </c>
      <c r="W9" t="s">
        <v>95</v>
      </c>
      <c r="X9">
        <v>98.7</v>
      </c>
      <c r="Y9" s="10">
        <v>9.8000000000000007</v>
      </c>
      <c r="Z9" s="10">
        <v>8.1999999999999993</v>
      </c>
    </row>
    <row r="10" spans="1:26">
      <c r="A10" s="11" t="s">
        <v>130</v>
      </c>
      <c r="B10" s="8">
        <v>45519</v>
      </c>
      <c r="C10" s="11" t="s">
        <v>131</v>
      </c>
      <c r="D10">
        <v>55234.6</v>
      </c>
      <c r="E10">
        <v>0.91</v>
      </c>
      <c r="F10">
        <v>0.7</v>
      </c>
      <c r="G10">
        <v>2.4</v>
      </c>
      <c r="H10">
        <v>4.7</v>
      </c>
      <c r="I10">
        <v>11</v>
      </c>
      <c r="J10">
        <v>2.8</v>
      </c>
      <c r="K10" s="11" t="s">
        <v>132</v>
      </c>
      <c r="L10">
        <v>19.8</v>
      </c>
      <c r="M10">
        <v>-10.199999999999999</v>
      </c>
      <c r="N10">
        <v>54.7</v>
      </c>
      <c r="O10">
        <v>-12.4</v>
      </c>
      <c r="P10">
        <v>34.700000000000003</v>
      </c>
      <c r="Q10">
        <v>0.89</v>
      </c>
      <c r="R10">
        <v>77.849999999999994</v>
      </c>
      <c r="S10">
        <v>2487.5</v>
      </c>
      <c r="T10" s="10">
        <v>9.1199999999999992</v>
      </c>
      <c r="U10" t="s">
        <v>133</v>
      </c>
      <c r="V10">
        <v>6.1</v>
      </c>
      <c r="W10" t="s">
        <v>95</v>
      </c>
      <c r="X10">
        <v>102.3</v>
      </c>
      <c r="Y10" s="10">
        <v>7.9</v>
      </c>
      <c r="Z10" s="10">
        <v>8.1999999999999993</v>
      </c>
    </row>
    <row r="11" spans="1:26">
      <c r="A11" s="11" t="s">
        <v>108</v>
      </c>
      <c r="B11" s="8">
        <v>45519</v>
      </c>
      <c r="C11" s="11" t="s">
        <v>109</v>
      </c>
      <c r="D11">
        <v>80456.7</v>
      </c>
      <c r="E11">
        <v>0.89</v>
      </c>
      <c r="F11">
        <v>4.3</v>
      </c>
      <c r="G11">
        <v>6.8</v>
      </c>
      <c r="H11">
        <v>4.9000000000000004</v>
      </c>
      <c r="I11">
        <v>6.5</v>
      </c>
      <c r="J11">
        <v>3.2</v>
      </c>
      <c r="K11" s="11" t="s">
        <v>110</v>
      </c>
      <c r="L11">
        <v>83.7</v>
      </c>
      <c r="M11">
        <v>-0.5</v>
      </c>
      <c r="N11">
        <v>84.2</v>
      </c>
      <c r="O11">
        <v>-23.1</v>
      </c>
      <c r="P11">
        <v>67.400000000000006</v>
      </c>
      <c r="Q11">
        <v>1.1499999999999999</v>
      </c>
      <c r="R11">
        <v>77.849999999999994</v>
      </c>
      <c r="S11">
        <v>2487.5</v>
      </c>
      <c r="T11" s="10">
        <v>7.04</v>
      </c>
      <c r="U11" t="s">
        <v>111</v>
      </c>
      <c r="V11">
        <v>6.8</v>
      </c>
      <c r="W11" t="s">
        <v>95</v>
      </c>
      <c r="X11">
        <v>134.80000000000001</v>
      </c>
      <c r="Y11" s="10">
        <v>13.2</v>
      </c>
      <c r="Z11" s="10">
        <v>10.9</v>
      </c>
    </row>
    <row r="12" spans="1:26">
      <c r="A12" s="11" t="s">
        <v>174</v>
      </c>
      <c r="B12" s="8">
        <v>45519</v>
      </c>
      <c r="C12" s="11" t="s">
        <v>175</v>
      </c>
      <c r="D12">
        <v>6789.1</v>
      </c>
      <c r="E12">
        <v>0.89</v>
      </c>
      <c r="F12">
        <v>0.3</v>
      </c>
      <c r="G12">
        <v>5.8</v>
      </c>
      <c r="H12">
        <v>3.7</v>
      </c>
      <c r="I12">
        <v>6.5</v>
      </c>
      <c r="J12">
        <v>5.9</v>
      </c>
      <c r="K12" s="11" t="s">
        <v>176</v>
      </c>
      <c r="L12">
        <v>56.3</v>
      </c>
      <c r="M12">
        <v>-8.9</v>
      </c>
      <c r="N12">
        <v>63.5</v>
      </c>
      <c r="O12">
        <v>-8.9</v>
      </c>
      <c r="P12">
        <v>9.8000000000000007</v>
      </c>
      <c r="Q12">
        <v>0.88</v>
      </c>
      <c r="R12">
        <v>77.849999999999994</v>
      </c>
      <c r="S12">
        <v>2487.5</v>
      </c>
      <c r="T12" s="10">
        <v>6.45</v>
      </c>
      <c r="U12" t="s">
        <v>169</v>
      </c>
      <c r="V12">
        <v>6.8</v>
      </c>
      <c r="W12" t="s">
        <v>95</v>
      </c>
      <c r="X12">
        <v>78.900000000000006</v>
      </c>
      <c r="Y12" s="10">
        <v>8.1</v>
      </c>
      <c r="Z12" s="10">
        <v>7.4</v>
      </c>
    </row>
    <row r="13" spans="1:26">
      <c r="A13" s="11" t="s">
        <v>201</v>
      </c>
      <c r="B13" s="8">
        <v>45519</v>
      </c>
      <c r="C13" s="11" t="s">
        <v>202</v>
      </c>
      <c r="D13">
        <v>1234.5</v>
      </c>
      <c r="E13">
        <v>0.89</v>
      </c>
      <c r="F13">
        <v>0.1</v>
      </c>
      <c r="G13">
        <v>1.2</v>
      </c>
      <c r="H13">
        <v>7.2</v>
      </c>
      <c r="I13">
        <v>10.75</v>
      </c>
      <c r="J13">
        <v>10.199999999999999</v>
      </c>
      <c r="K13" s="11" t="s">
        <v>203</v>
      </c>
      <c r="L13">
        <v>4134</v>
      </c>
      <c r="M13">
        <v>-18.899999999999999</v>
      </c>
      <c r="N13">
        <v>56.7</v>
      </c>
      <c r="O13">
        <v>-12.1</v>
      </c>
      <c r="P13">
        <v>12.8</v>
      </c>
      <c r="Q13">
        <v>0.78</v>
      </c>
      <c r="R13">
        <v>77.849999999999994</v>
      </c>
      <c r="S13">
        <v>2487.5</v>
      </c>
      <c r="T13" s="10">
        <v>12.34</v>
      </c>
      <c r="U13" t="s">
        <v>129</v>
      </c>
      <c r="V13">
        <v>5.8</v>
      </c>
      <c r="W13" t="s">
        <v>95</v>
      </c>
      <c r="X13">
        <v>87.3</v>
      </c>
      <c r="Y13" s="10">
        <v>8.9</v>
      </c>
      <c r="Z13" s="10">
        <v>7.1</v>
      </c>
    </row>
    <row r="14" spans="1:26">
      <c r="A14" s="11" t="s">
        <v>126</v>
      </c>
      <c r="B14" s="8">
        <v>45519</v>
      </c>
      <c r="C14" s="11" t="s">
        <v>127</v>
      </c>
      <c r="D14">
        <v>2789.1</v>
      </c>
      <c r="E14">
        <v>0.78</v>
      </c>
      <c r="F14">
        <v>0.6</v>
      </c>
      <c r="G14">
        <v>-1.9</v>
      </c>
      <c r="H14">
        <v>7.4</v>
      </c>
      <c r="I14">
        <v>16</v>
      </c>
      <c r="J14">
        <v>3.4</v>
      </c>
      <c r="K14" s="11" t="s">
        <v>128</v>
      </c>
      <c r="L14">
        <v>91.2</v>
      </c>
      <c r="M14">
        <v>-15.6</v>
      </c>
      <c r="N14">
        <v>21.4</v>
      </c>
      <c r="O14">
        <v>67.8</v>
      </c>
      <c r="P14">
        <v>8.9</v>
      </c>
      <c r="Q14">
        <v>0.87</v>
      </c>
      <c r="R14">
        <v>77.849999999999994</v>
      </c>
      <c r="S14">
        <v>2487.5</v>
      </c>
      <c r="T14" s="10">
        <v>12.45</v>
      </c>
      <c r="U14" t="s">
        <v>129</v>
      </c>
      <c r="V14">
        <v>3.2</v>
      </c>
      <c r="W14" t="s">
        <v>119</v>
      </c>
      <c r="X14">
        <v>67.400000000000006</v>
      </c>
      <c r="Y14" s="10">
        <v>15.2</v>
      </c>
      <c r="Z14" s="10">
        <v>18.7</v>
      </c>
    </row>
    <row r="15" spans="1:26">
      <c r="A15" s="11" t="s">
        <v>160</v>
      </c>
      <c r="B15" s="8">
        <v>45519</v>
      </c>
      <c r="C15" s="11" t="s">
        <v>161</v>
      </c>
      <c r="D15">
        <v>22567.8</v>
      </c>
      <c r="E15">
        <v>0.78</v>
      </c>
      <c r="F15">
        <v>2.1</v>
      </c>
      <c r="G15">
        <v>3.8</v>
      </c>
      <c r="H15">
        <v>2.1</v>
      </c>
      <c r="I15">
        <v>1.5</v>
      </c>
      <c r="J15">
        <v>3.7</v>
      </c>
      <c r="K15" s="11" t="s">
        <v>162</v>
      </c>
      <c r="L15">
        <v>32.1</v>
      </c>
      <c r="M15">
        <v>-1.8</v>
      </c>
      <c r="N15">
        <v>28.7</v>
      </c>
      <c r="O15">
        <v>89.7</v>
      </c>
      <c r="P15">
        <v>12.3</v>
      </c>
      <c r="Q15">
        <v>1.04</v>
      </c>
      <c r="R15">
        <v>77.849999999999994</v>
      </c>
      <c r="S15">
        <v>2487.5</v>
      </c>
      <c r="T15" s="10">
        <v>1.23</v>
      </c>
      <c r="U15" t="s">
        <v>105</v>
      </c>
      <c r="V15">
        <v>8.1</v>
      </c>
      <c r="W15" t="s">
        <v>90</v>
      </c>
      <c r="X15">
        <v>112.4</v>
      </c>
      <c r="Y15" s="10">
        <v>15.2</v>
      </c>
      <c r="Z15" s="10">
        <v>13.8</v>
      </c>
    </row>
    <row r="16" spans="1:26">
      <c r="A16" s="11" t="s">
        <v>184</v>
      </c>
      <c r="B16" s="8">
        <v>45519</v>
      </c>
      <c r="C16" s="11" t="s">
        <v>185</v>
      </c>
      <c r="D16">
        <v>75234.600000000006</v>
      </c>
      <c r="E16">
        <v>0.78</v>
      </c>
      <c r="F16">
        <v>0.4</v>
      </c>
      <c r="G16">
        <v>0.9</v>
      </c>
      <c r="H16">
        <v>4.7</v>
      </c>
      <c r="I16">
        <v>8.25</v>
      </c>
      <c r="J16">
        <v>28.7</v>
      </c>
      <c r="K16" s="11" t="s">
        <v>186</v>
      </c>
      <c r="L16">
        <v>18.2</v>
      </c>
      <c r="M16">
        <v>-7.8</v>
      </c>
      <c r="N16">
        <v>71.099999999999994</v>
      </c>
      <c r="O16">
        <v>8.9</v>
      </c>
      <c r="P16">
        <v>4.5</v>
      </c>
      <c r="Q16">
        <v>0.82</v>
      </c>
      <c r="R16">
        <v>77.849999999999994</v>
      </c>
      <c r="S16">
        <v>2487.5</v>
      </c>
      <c r="T16" s="10">
        <v>11.78</v>
      </c>
      <c r="U16" t="s">
        <v>118</v>
      </c>
      <c r="V16">
        <v>5.9</v>
      </c>
      <c r="W16" t="s">
        <v>119</v>
      </c>
      <c r="X16">
        <v>89.3</v>
      </c>
      <c r="Y16" s="10">
        <v>2.1</v>
      </c>
      <c r="Z16" s="10">
        <v>1.8</v>
      </c>
    </row>
    <row r="17" spans="1:26">
      <c r="A17" s="11" t="s">
        <v>99</v>
      </c>
      <c r="B17" s="8">
        <v>45519</v>
      </c>
      <c r="C17" s="11" t="s">
        <v>100</v>
      </c>
      <c r="D17">
        <v>18234.5</v>
      </c>
      <c r="E17">
        <v>0.67</v>
      </c>
      <c r="F17">
        <v>2.9</v>
      </c>
      <c r="G17">
        <v>0.3</v>
      </c>
      <c r="H17">
        <v>2.2000000000000002</v>
      </c>
      <c r="I17">
        <v>4.5</v>
      </c>
      <c r="J17">
        <v>3.1</v>
      </c>
      <c r="K17" s="11" t="s">
        <v>101</v>
      </c>
      <c r="L17">
        <v>0.92</v>
      </c>
      <c r="M17">
        <v>1.8</v>
      </c>
      <c r="N17">
        <v>66.3</v>
      </c>
      <c r="O17">
        <v>297.39999999999998</v>
      </c>
      <c r="P17">
        <v>67.8</v>
      </c>
      <c r="Q17">
        <v>1.08</v>
      </c>
      <c r="R17">
        <v>77.849999999999994</v>
      </c>
      <c r="S17">
        <v>2487.5</v>
      </c>
      <c r="T17" s="10">
        <v>2.31</v>
      </c>
      <c r="U17" t="s">
        <v>89</v>
      </c>
      <c r="V17">
        <v>8.6999999999999993</v>
      </c>
      <c r="W17" t="s">
        <v>90</v>
      </c>
      <c r="X17">
        <v>112.4</v>
      </c>
      <c r="Y17" s="10">
        <v>2.1</v>
      </c>
      <c r="Z17" s="10">
        <v>1.8</v>
      </c>
    </row>
    <row r="18" spans="1:26">
      <c r="A18" s="11" t="s">
        <v>136</v>
      </c>
      <c r="B18" s="8">
        <v>45519</v>
      </c>
      <c r="C18" s="11" t="s">
        <v>137</v>
      </c>
      <c r="D18">
        <v>11123.8</v>
      </c>
      <c r="E18">
        <v>0.67</v>
      </c>
      <c r="F18">
        <v>0.8</v>
      </c>
      <c r="G18">
        <v>2.5</v>
      </c>
      <c r="H18">
        <v>3.2</v>
      </c>
      <c r="I18">
        <v>4.5</v>
      </c>
      <c r="J18">
        <v>11.5</v>
      </c>
      <c r="K18" s="11" t="s">
        <v>101</v>
      </c>
      <c r="L18">
        <v>0.92</v>
      </c>
      <c r="M18">
        <v>1.8</v>
      </c>
      <c r="N18">
        <v>107.7</v>
      </c>
      <c r="O18">
        <v>23.4</v>
      </c>
      <c r="P18">
        <v>45.6</v>
      </c>
      <c r="Q18">
        <v>1.08</v>
      </c>
      <c r="R18">
        <v>77.849999999999994</v>
      </c>
      <c r="S18">
        <v>2487.5</v>
      </c>
      <c r="T18" s="10">
        <v>3.21</v>
      </c>
      <c r="U18" t="s">
        <v>138</v>
      </c>
      <c r="V18">
        <v>7.8</v>
      </c>
      <c r="W18" t="s">
        <v>95</v>
      </c>
      <c r="X18">
        <v>98.3</v>
      </c>
      <c r="Y18" s="10">
        <v>4.0999999999999996</v>
      </c>
      <c r="Z18" s="10">
        <v>3.7</v>
      </c>
    </row>
    <row r="19" spans="1:26">
      <c r="A19" s="11" t="s">
        <v>147</v>
      </c>
      <c r="B19" s="8">
        <v>45519</v>
      </c>
      <c r="C19" s="11" t="s">
        <v>148</v>
      </c>
      <c r="D19">
        <v>1345.6</v>
      </c>
      <c r="E19">
        <v>0.67</v>
      </c>
      <c r="F19">
        <v>0.4</v>
      </c>
      <c r="G19">
        <v>2.1</v>
      </c>
      <c r="H19">
        <v>3.1</v>
      </c>
      <c r="I19">
        <v>4.5</v>
      </c>
      <c r="J19">
        <v>3.4</v>
      </c>
      <c r="K19" s="11" t="s">
        <v>149</v>
      </c>
      <c r="L19">
        <v>11.2</v>
      </c>
      <c r="M19">
        <v>2.8</v>
      </c>
      <c r="N19">
        <v>45.7</v>
      </c>
      <c r="O19">
        <v>78.900000000000006</v>
      </c>
      <c r="P19">
        <v>8.9</v>
      </c>
      <c r="Q19">
        <v>1.1399999999999999</v>
      </c>
      <c r="R19">
        <v>77.849999999999994</v>
      </c>
      <c r="S19">
        <v>2487.5</v>
      </c>
      <c r="T19" s="10">
        <v>3.12</v>
      </c>
      <c r="U19" t="s">
        <v>89</v>
      </c>
      <c r="V19">
        <v>9</v>
      </c>
      <c r="W19" t="s">
        <v>90</v>
      </c>
      <c r="X19">
        <v>127.3</v>
      </c>
      <c r="Y19" s="10">
        <v>8.9</v>
      </c>
      <c r="Z19" s="10">
        <v>6.7</v>
      </c>
    </row>
    <row r="20" spans="1:26">
      <c r="A20" s="11" t="s">
        <v>170</v>
      </c>
      <c r="B20" s="8">
        <v>45519</v>
      </c>
      <c r="C20" s="11" t="s">
        <v>171</v>
      </c>
      <c r="D20">
        <v>1634.5</v>
      </c>
      <c r="E20">
        <v>0.67</v>
      </c>
      <c r="F20">
        <v>0.5</v>
      </c>
      <c r="G20">
        <v>4.2</v>
      </c>
      <c r="H20">
        <v>2</v>
      </c>
      <c r="I20">
        <v>3</v>
      </c>
      <c r="J20">
        <v>3.4</v>
      </c>
      <c r="K20" s="11" t="s">
        <v>172</v>
      </c>
      <c r="L20">
        <v>4.67</v>
      </c>
      <c r="M20">
        <v>-6.7</v>
      </c>
      <c r="N20">
        <v>70.099999999999994</v>
      </c>
      <c r="O20">
        <v>23.4</v>
      </c>
      <c r="P20">
        <v>12.1</v>
      </c>
      <c r="Q20">
        <v>0.91</v>
      </c>
      <c r="R20">
        <v>77.849999999999994</v>
      </c>
      <c r="S20">
        <v>2487.5</v>
      </c>
      <c r="T20" s="10">
        <v>3.78</v>
      </c>
      <c r="U20" t="s">
        <v>173</v>
      </c>
      <c r="V20">
        <v>7.3</v>
      </c>
      <c r="W20" t="s">
        <v>95</v>
      </c>
      <c r="X20">
        <v>87.9</v>
      </c>
      <c r="Y20" s="10">
        <v>6.7</v>
      </c>
      <c r="Z20" s="10">
        <v>5.9</v>
      </c>
    </row>
    <row r="21" spans="1:26">
      <c r="A21" s="11" t="s">
        <v>194</v>
      </c>
      <c r="B21" s="8">
        <v>45519</v>
      </c>
      <c r="C21" s="11" t="s">
        <v>195</v>
      </c>
      <c r="D21">
        <v>5678.9</v>
      </c>
      <c r="E21">
        <v>0.67</v>
      </c>
      <c r="F21">
        <v>0.2</v>
      </c>
      <c r="G21">
        <v>2.4</v>
      </c>
      <c r="H21">
        <v>4.0999999999999996</v>
      </c>
      <c r="I21">
        <v>5.75</v>
      </c>
      <c r="J21">
        <v>8.8000000000000007</v>
      </c>
      <c r="K21" s="11" t="s">
        <v>196</v>
      </c>
      <c r="L21">
        <v>967</v>
      </c>
      <c r="M21">
        <v>-8.9</v>
      </c>
      <c r="N21">
        <v>37.799999999999997</v>
      </c>
      <c r="O21">
        <v>23.4</v>
      </c>
      <c r="P21">
        <v>18.899999999999999</v>
      </c>
      <c r="Q21">
        <v>0.93</v>
      </c>
      <c r="R21">
        <v>77.849999999999994</v>
      </c>
      <c r="S21">
        <v>2487.5</v>
      </c>
      <c r="T21" s="10">
        <v>5.89</v>
      </c>
      <c r="U21" t="s">
        <v>138</v>
      </c>
      <c r="V21">
        <v>7.8</v>
      </c>
      <c r="W21" t="s">
        <v>95</v>
      </c>
      <c r="X21">
        <v>95.6</v>
      </c>
      <c r="Y21" s="10">
        <v>6.7</v>
      </c>
      <c r="Z21" s="10">
        <v>5.2</v>
      </c>
    </row>
    <row r="22" spans="1:26">
      <c r="A22" s="11" t="s">
        <v>153</v>
      </c>
      <c r="B22" s="8">
        <v>45519</v>
      </c>
      <c r="C22" s="11" t="s">
        <v>154</v>
      </c>
      <c r="D22">
        <v>3456.7</v>
      </c>
      <c r="E22">
        <v>0.56000000000000005</v>
      </c>
      <c r="F22">
        <v>0.8</v>
      </c>
      <c r="G22">
        <v>2.6</v>
      </c>
      <c r="H22">
        <v>2.4</v>
      </c>
      <c r="I22">
        <v>3.5</v>
      </c>
      <c r="J22">
        <v>2.1</v>
      </c>
      <c r="K22" s="11" t="s">
        <v>155</v>
      </c>
      <c r="L22">
        <v>1.35</v>
      </c>
      <c r="M22">
        <v>1.2</v>
      </c>
      <c r="N22">
        <v>130.1</v>
      </c>
      <c r="O22">
        <v>67.8</v>
      </c>
      <c r="P22">
        <v>89.7</v>
      </c>
      <c r="Q22">
        <v>1.0900000000000001</v>
      </c>
      <c r="R22">
        <v>77.849999999999994</v>
      </c>
      <c r="S22">
        <v>2487.5</v>
      </c>
      <c r="T22" s="10">
        <v>3.18</v>
      </c>
      <c r="U22" t="s">
        <v>89</v>
      </c>
      <c r="V22">
        <v>8.6999999999999993</v>
      </c>
      <c r="W22" t="s">
        <v>90</v>
      </c>
      <c r="X22">
        <v>98.9</v>
      </c>
      <c r="Y22" s="10">
        <v>12.4</v>
      </c>
      <c r="Z22" s="10">
        <v>11.7</v>
      </c>
    </row>
    <row r="23" spans="1:26">
      <c r="A23" s="11" t="s">
        <v>210</v>
      </c>
      <c r="B23" s="8">
        <v>45519</v>
      </c>
      <c r="C23" s="11" t="s">
        <v>211</v>
      </c>
      <c r="D23">
        <v>12345.6</v>
      </c>
      <c r="E23">
        <v>0.56000000000000005</v>
      </c>
      <c r="F23">
        <v>2.8</v>
      </c>
      <c r="G23">
        <v>1.1000000000000001</v>
      </c>
      <c r="H23">
        <v>-0.4</v>
      </c>
      <c r="I23">
        <v>6</v>
      </c>
      <c r="J23">
        <v>5.8</v>
      </c>
      <c r="K23" s="11" t="s">
        <v>212</v>
      </c>
      <c r="L23">
        <v>3.75</v>
      </c>
      <c r="M23">
        <v>0</v>
      </c>
      <c r="N23">
        <v>26.7</v>
      </c>
      <c r="O23">
        <v>34.5</v>
      </c>
      <c r="P23">
        <v>8.9</v>
      </c>
      <c r="Q23">
        <v>1.18</v>
      </c>
      <c r="R23">
        <v>77.849999999999994</v>
      </c>
      <c r="S23">
        <v>2487.5</v>
      </c>
      <c r="T23" s="10">
        <v>4.2300000000000004</v>
      </c>
      <c r="U23" t="s">
        <v>173</v>
      </c>
      <c r="V23">
        <v>6.9</v>
      </c>
      <c r="W23" t="s">
        <v>95</v>
      </c>
      <c r="X23">
        <v>98.7</v>
      </c>
      <c r="Y23" s="10">
        <v>12.3</v>
      </c>
      <c r="Z23" s="10">
        <v>8.9</v>
      </c>
    </row>
    <row r="24" spans="1:26">
      <c r="A24" s="11" t="s">
        <v>112</v>
      </c>
      <c r="B24" s="8">
        <v>45519</v>
      </c>
      <c r="C24" s="11" t="s">
        <v>113</v>
      </c>
      <c r="D24">
        <v>22567.8</v>
      </c>
      <c r="E24">
        <v>0.45</v>
      </c>
      <c r="F24">
        <v>2.8</v>
      </c>
      <c r="G24">
        <v>2.9</v>
      </c>
      <c r="H24">
        <v>2.8</v>
      </c>
      <c r="I24">
        <v>4.75</v>
      </c>
      <c r="J24">
        <v>6.1</v>
      </c>
      <c r="K24" s="11" t="s">
        <v>114</v>
      </c>
      <c r="L24">
        <v>1.37</v>
      </c>
      <c r="M24">
        <v>4.2</v>
      </c>
      <c r="N24">
        <v>106.7</v>
      </c>
      <c r="O24">
        <v>12.8</v>
      </c>
      <c r="P24">
        <v>34.5</v>
      </c>
      <c r="Q24">
        <v>1.0900000000000001</v>
      </c>
      <c r="R24">
        <v>77.849999999999994</v>
      </c>
      <c r="S24">
        <v>2487.5</v>
      </c>
      <c r="T24" s="10">
        <v>3.42</v>
      </c>
      <c r="U24" t="s">
        <v>89</v>
      </c>
      <c r="V24">
        <v>8.9</v>
      </c>
      <c r="W24" t="s">
        <v>90</v>
      </c>
      <c r="X24">
        <v>126.7</v>
      </c>
      <c r="Y24" s="10">
        <v>4.0999999999999996</v>
      </c>
      <c r="Z24" s="10">
        <v>3.8</v>
      </c>
    </row>
    <row r="25" spans="1:26">
      <c r="A25" s="11" t="s">
        <v>144</v>
      </c>
      <c r="B25" s="8">
        <v>45519</v>
      </c>
      <c r="C25" s="11" t="s">
        <v>145</v>
      </c>
      <c r="D25">
        <v>2567.8000000000002</v>
      </c>
      <c r="E25">
        <v>0.45</v>
      </c>
      <c r="F25">
        <v>0.7</v>
      </c>
      <c r="G25">
        <v>0.8</v>
      </c>
      <c r="H25">
        <v>1.9</v>
      </c>
      <c r="I25">
        <v>3.75</v>
      </c>
      <c r="J25">
        <v>7.8</v>
      </c>
      <c r="K25" s="11" t="s">
        <v>146</v>
      </c>
      <c r="L25">
        <v>10.9</v>
      </c>
      <c r="M25">
        <v>-4.7</v>
      </c>
      <c r="N25">
        <v>35.1</v>
      </c>
      <c r="O25">
        <v>34.5</v>
      </c>
      <c r="P25">
        <v>12.8</v>
      </c>
      <c r="Q25">
        <v>1.07</v>
      </c>
      <c r="R25">
        <v>77.849999999999994</v>
      </c>
      <c r="S25">
        <v>2487.5</v>
      </c>
      <c r="T25" s="10">
        <v>2.34</v>
      </c>
      <c r="U25" t="s">
        <v>89</v>
      </c>
      <c r="V25">
        <v>8.9</v>
      </c>
      <c r="W25" t="s">
        <v>90</v>
      </c>
      <c r="X25">
        <v>119.8</v>
      </c>
      <c r="Y25" s="10">
        <v>3.4</v>
      </c>
      <c r="Z25" s="10">
        <v>2.9</v>
      </c>
    </row>
    <row r="26" spans="1:26">
      <c r="A26" s="11" t="s">
        <v>163</v>
      </c>
      <c r="B26" s="8">
        <v>45519</v>
      </c>
      <c r="C26" s="11" t="s">
        <v>164</v>
      </c>
      <c r="D26">
        <v>7234.5</v>
      </c>
      <c r="E26">
        <v>0.45</v>
      </c>
      <c r="F26">
        <v>0.7</v>
      </c>
      <c r="G26">
        <v>5.0999999999999996</v>
      </c>
      <c r="H26">
        <v>2.8</v>
      </c>
      <c r="I26">
        <v>6</v>
      </c>
      <c r="J26">
        <v>5.4</v>
      </c>
      <c r="K26" s="11" t="s">
        <v>165</v>
      </c>
      <c r="L26">
        <v>15487</v>
      </c>
      <c r="M26">
        <v>-2.2999999999999998</v>
      </c>
      <c r="N26">
        <v>39.799999999999997</v>
      </c>
      <c r="O26">
        <v>-12.1</v>
      </c>
      <c r="P26">
        <v>23.4</v>
      </c>
      <c r="Q26">
        <v>0.94</v>
      </c>
      <c r="R26">
        <v>77.849999999999994</v>
      </c>
      <c r="S26">
        <v>2487.5</v>
      </c>
      <c r="T26" s="10">
        <v>7.12</v>
      </c>
      <c r="U26" t="s">
        <v>133</v>
      </c>
      <c r="V26">
        <v>6.5</v>
      </c>
      <c r="W26" t="s">
        <v>95</v>
      </c>
      <c r="X26">
        <v>89.7</v>
      </c>
      <c r="Y26" s="10">
        <v>8.9</v>
      </c>
      <c r="Z26" s="10">
        <v>7.3</v>
      </c>
    </row>
    <row r="27" spans="1:26">
      <c r="A27" s="11" t="s">
        <v>86</v>
      </c>
      <c r="B27" s="8">
        <v>45519</v>
      </c>
      <c r="C27" s="11" t="s">
        <v>87</v>
      </c>
      <c r="D27">
        <v>5437.2</v>
      </c>
      <c r="E27">
        <v>0.34</v>
      </c>
      <c r="F27">
        <v>51.2</v>
      </c>
      <c r="G27">
        <v>2.8</v>
      </c>
      <c r="H27">
        <v>2.9</v>
      </c>
      <c r="I27">
        <v>5.5</v>
      </c>
      <c r="J27">
        <v>3.7</v>
      </c>
      <c r="K27" s="11" t="s">
        <v>88</v>
      </c>
      <c r="L27">
        <v>1</v>
      </c>
      <c r="M27">
        <v>0</v>
      </c>
      <c r="N27">
        <v>126.4</v>
      </c>
      <c r="O27">
        <v>-695.2</v>
      </c>
      <c r="P27">
        <v>456.8</v>
      </c>
      <c r="Q27">
        <v>1.1200000000000001</v>
      </c>
      <c r="R27">
        <v>77.849999999999994</v>
      </c>
      <c r="S27">
        <v>2487.5</v>
      </c>
      <c r="T27" s="10">
        <v>4.25</v>
      </c>
      <c r="U27" t="s">
        <v>89</v>
      </c>
      <c r="V27">
        <v>8.1</v>
      </c>
      <c r="W27" t="s">
        <v>90</v>
      </c>
      <c r="X27">
        <v>145.6</v>
      </c>
      <c r="Y27" s="10">
        <v>3.2</v>
      </c>
      <c r="Z27" s="10">
        <v>2.8</v>
      </c>
    </row>
    <row r="28" spans="1:26">
      <c r="A28" s="11" t="s">
        <v>134</v>
      </c>
      <c r="B28" s="8">
        <v>45519</v>
      </c>
      <c r="C28" s="11" t="s">
        <v>135</v>
      </c>
      <c r="D28">
        <v>33456.699999999997</v>
      </c>
      <c r="E28">
        <v>0.34</v>
      </c>
      <c r="F28">
        <v>0.9</v>
      </c>
      <c r="G28">
        <v>0.7</v>
      </c>
      <c r="H28">
        <v>1</v>
      </c>
      <c r="I28">
        <v>4.5</v>
      </c>
      <c r="J28">
        <v>7.6</v>
      </c>
      <c r="K28" s="11" t="s">
        <v>101</v>
      </c>
      <c r="L28">
        <v>0.92</v>
      </c>
      <c r="M28">
        <v>1.8</v>
      </c>
      <c r="N28">
        <v>144.4</v>
      </c>
      <c r="O28">
        <v>-56.7</v>
      </c>
      <c r="P28">
        <v>28.9</v>
      </c>
      <c r="Q28">
        <v>1.08</v>
      </c>
      <c r="R28">
        <v>77.849999999999994</v>
      </c>
      <c r="S28">
        <v>2487.5</v>
      </c>
      <c r="T28" s="10">
        <v>3.67</v>
      </c>
      <c r="U28" t="s">
        <v>133</v>
      </c>
      <c r="V28">
        <v>7.1</v>
      </c>
      <c r="W28" t="s">
        <v>95</v>
      </c>
      <c r="X28">
        <v>89.7</v>
      </c>
      <c r="Y28" s="10">
        <v>3.2</v>
      </c>
      <c r="Z28" s="10">
        <v>2.9</v>
      </c>
    </row>
    <row r="29" spans="1:26">
      <c r="A29" s="11" t="s">
        <v>166</v>
      </c>
      <c r="B29" s="8">
        <v>45519</v>
      </c>
      <c r="C29" s="11" t="s">
        <v>167</v>
      </c>
      <c r="D29">
        <v>1567.8</v>
      </c>
      <c r="E29">
        <v>0.34</v>
      </c>
      <c r="F29">
        <v>0.6</v>
      </c>
      <c r="G29">
        <v>2.9</v>
      </c>
      <c r="H29">
        <v>0.4</v>
      </c>
      <c r="I29">
        <v>2.5</v>
      </c>
      <c r="J29">
        <v>1.2</v>
      </c>
      <c r="K29" s="11" t="s">
        <v>168</v>
      </c>
      <c r="L29">
        <v>36.200000000000003</v>
      </c>
      <c r="M29">
        <v>3.4</v>
      </c>
      <c r="N29">
        <v>61.4</v>
      </c>
      <c r="O29">
        <v>12.8</v>
      </c>
      <c r="P29">
        <v>8.9</v>
      </c>
      <c r="Q29">
        <v>0.97</v>
      </c>
      <c r="R29">
        <v>77.849999999999994</v>
      </c>
      <c r="S29">
        <v>2487.5</v>
      </c>
      <c r="T29" s="10">
        <v>2.67</v>
      </c>
      <c r="U29" t="s">
        <v>169</v>
      </c>
      <c r="V29">
        <v>7.1</v>
      </c>
      <c r="W29" t="s">
        <v>95</v>
      </c>
      <c r="X29">
        <v>95.3</v>
      </c>
      <c r="Y29" s="10">
        <v>4.0999999999999996</v>
      </c>
      <c r="Z29" s="10">
        <v>3.8</v>
      </c>
    </row>
    <row r="30" spans="1:26">
      <c r="A30" s="11" t="s">
        <v>207</v>
      </c>
      <c r="B30" s="8">
        <v>45519</v>
      </c>
      <c r="C30" s="11" t="s">
        <v>208</v>
      </c>
      <c r="D30">
        <v>9876.5</v>
      </c>
      <c r="E30">
        <v>0.34</v>
      </c>
      <c r="F30">
        <v>0.7</v>
      </c>
      <c r="G30">
        <v>3.9</v>
      </c>
      <c r="H30">
        <v>1.9</v>
      </c>
      <c r="I30">
        <v>5.4</v>
      </c>
      <c r="J30">
        <v>2.8</v>
      </c>
      <c r="K30" s="11" t="s">
        <v>209</v>
      </c>
      <c r="L30">
        <v>3.67</v>
      </c>
      <c r="M30">
        <v>0</v>
      </c>
      <c r="N30">
        <v>34.5</v>
      </c>
      <c r="O30">
        <v>67.8</v>
      </c>
      <c r="P30">
        <v>23.4</v>
      </c>
      <c r="Q30">
        <v>1.06</v>
      </c>
      <c r="R30">
        <v>77.849999999999994</v>
      </c>
      <c r="S30">
        <v>2487.5</v>
      </c>
      <c r="T30" s="10">
        <v>4.12</v>
      </c>
      <c r="U30" t="s">
        <v>105</v>
      </c>
      <c r="V30">
        <v>8.1999999999999993</v>
      </c>
      <c r="W30" t="s">
        <v>90</v>
      </c>
      <c r="X30">
        <v>134.5</v>
      </c>
      <c r="Y30" s="10">
        <v>23.4</v>
      </c>
      <c r="Z30" s="10">
        <v>18.899999999999999</v>
      </c>
    </row>
    <row r="31" spans="1:26">
      <c r="A31" s="11" t="s">
        <v>106</v>
      </c>
      <c r="B31" s="8">
        <v>45519</v>
      </c>
      <c r="C31" s="11" t="s">
        <v>107</v>
      </c>
      <c r="D31">
        <v>7389.2</v>
      </c>
      <c r="E31">
        <v>0.28000000000000003</v>
      </c>
      <c r="F31">
        <v>3</v>
      </c>
      <c r="G31">
        <v>1.3</v>
      </c>
      <c r="H31">
        <v>2.2999999999999998</v>
      </c>
      <c r="I31">
        <v>4.5</v>
      </c>
      <c r="J31">
        <v>7.4</v>
      </c>
      <c r="K31" s="11" t="s">
        <v>101</v>
      </c>
      <c r="L31">
        <v>0.92</v>
      </c>
      <c r="M31">
        <v>1.8</v>
      </c>
      <c r="N31">
        <v>111.8</v>
      </c>
      <c r="O31">
        <v>-22.1</v>
      </c>
      <c r="P31">
        <v>56.7</v>
      </c>
      <c r="Q31">
        <v>1.08</v>
      </c>
      <c r="R31">
        <v>77.849999999999994</v>
      </c>
      <c r="S31">
        <v>2487.5</v>
      </c>
      <c r="T31" s="10">
        <v>2.95</v>
      </c>
      <c r="U31" t="s">
        <v>105</v>
      </c>
      <c r="V31">
        <v>7.3</v>
      </c>
      <c r="W31" t="s">
        <v>95</v>
      </c>
      <c r="X31">
        <v>103.2</v>
      </c>
      <c r="Y31" s="10">
        <v>1.8</v>
      </c>
      <c r="Z31" s="10">
        <v>2.1</v>
      </c>
    </row>
    <row r="32" spans="1:26">
      <c r="A32" s="11" t="s">
        <v>141</v>
      </c>
      <c r="B32" s="8">
        <v>45519</v>
      </c>
      <c r="C32" s="11" t="s">
        <v>142</v>
      </c>
      <c r="D32">
        <v>12234.5</v>
      </c>
      <c r="E32">
        <v>0.28000000000000003</v>
      </c>
      <c r="F32">
        <v>1.8</v>
      </c>
      <c r="G32">
        <v>1.2</v>
      </c>
      <c r="H32">
        <v>1.4</v>
      </c>
      <c r="I32">
        <v>1.25</v>
      </c>
      <c r="J32">
        <v>2.4</v>
      </c>
      <c r="K32" s="11" t="s">
        <v>143</v>
      </c>
      <c r="L32">
        <v>0.87</v>
      </c>
      <c r="M32">
        <v>6.2</v>
      </c>
      <c r="N32">
        <v>41</v>
      </c>
      <c r="O32">
        <v>67.8</v>
      </c>
      <c r="P32">
        <v>23.4</v>
      </c>
      <c r="Q32">
        <v>1.1299999999999999</v>
      </c>
      <c r="R32">
        <v>77.849999999999994</v>
      </c>
      <c r="S32">
        <v>2487.5</v>
      </c>
      <c r="T32" s="10">
        <v>0.68</v>
      </c>
      <c r="U32" t="s">
        <v>89</v>
      </c>
      <c r="V32">
        <v>9.1</v>
      </c>
      <c r="W32" t="s">
        <v>90</v>
      </c>
      <c r="X32">
        <v>142.6</v>
      </c>
      <c r="Y32" s="10">
        <v>1.9</v>
      </c>
      <c r="Z32" s="10">
        <v>2.1</v>
      </c>
    </row>
    <row r="33" spans="1:26">
      <c r="A33" s="11" t="s">
        <v>150</v>
      </c>
      <c r="B33" s="8">
        <v>45519</v>
      </c>
      <c r="C33" s="11" t="s">
        <v>151</v>
      </c>
      <c r="D33">
        <v>2234.5</v>
      </c>
      <c r="E33">
        <v>0.23</v>
      </c>
      <c r="F33">
        <v>0.4</v>
      </c>
      <c r="G33">
        <v>1.8</v>
      </c>
      <c r="H33">
        <v>1.7</v>
      </c>
      <c r="I33">
        <v>3.6</v>
      </c>
      <c r="J33">
        <v>5.0999999999999996</v>
      </c>
      <c r="K33" s="11" t="s">
        <v>152</v>
      </c>
      <c r="L33">
        <v>6.86</v>
      </c>
      <c r="M33">
        <v>1.9</v>
      </c>
      <c r="N33">
        <v>29.8</v>
      </c>
      <c r="O33">
        <v>23.4</v>
      </c>
      <c r="P33">
        <v>5.6</v>
      </c>
      <c r="Q33">
        <v>1.08</v>
      </c>
      <c r="R33">
        <v>77.849999999999994</v>
      </c>
      <c r="S33">
        <v>2487.5</v>
      </c>
      <c r="T33" s="10">
        <v>2.4500000000000002</v>
      </c>
      <c r="U33" t="s">
        <v>89</v>
      </c>
      <c r="V33">
        <v>8.9</v>
      </c>
      <c r="W33" t="s">
        <v>90</v>
      </c>
      <c r="X33">
        <v>124.7</v>
      </c>
      <c r="Y33" s="10">
        <v>2.1</v>
      </c>
      <c r="Z33" s="10">
        <v>1.8</v>
      </c>
    </row>
    <row r="34" spans="1:26">
      <c r="A34" s="11" t="s">
        <v>120</v>
      </c>
      <c r="B34" s="8">
        <v>45519</v>
      </c>
      <c r="C34" s="11" t="s">
        <v>121</v>
      </c>
      <c r="D34">
        <v>7923.4</v>
      </c>
      <c r="E34">
        <v>0.22</v>
      </c>
      <c r="F34">
        <v>1.8</v>
      </c>
      <c r="G34">
        <v>1.7</v>
      </c>
      <c r="H34">
        <v>3.8</v>
      </c>
      <c r="I34">
        <v>4.3499999999999996</v>
      </c>
      <c r="J34">
        <v>4.0999999999999996</v>
      </c>
      <c r="K34" s="11" t="s">
        <v>122</v>
      </c>
      <c r="L34">
        <v>1.52</v>
      </c>
      <c r="M34">
        <v>5.6</v>
      </c>
      <c r="N34">
        <v>45.1</v>
      </c>
      <c r="O34">
        <v>67.8</v>
      </c>
      <c r="P34">
        <v>45.7</v>
      </c>
      <c r="Q34">
        <v>1.1100000000000001</v>
      </c>
      <c r="R34">
        <v>77.849999999999994</v>
      </c>
      <c r="S34">
        <v>2487.5</v>
      </c>
      <c r="T34" s="10">
        <v>4.07</v>
      </c>
      <c r="U34" t="s">
        <v>89</v>
      </c>
      <c r="V34">
        <v>8.6</v>
      </c>
      <c r="W34" t="s">
        <v>90</v>
      </c>
      <c r="X34">
        <v>118.9</v>
      </c>
      <c r="Y34" s="10">
        <v>6.2</v>
      </c>
      <c r="Z34" s="10">
        <v>5.4</v>
      </c>
    </row>
    <row r="35" spans="1:26">
      <c r="A35" s="11" t="s">
        <v>139</v>
      </c>
      <c r="B35" s="8">
        <v>45519</v>
      </c>
      <c r="C35" s="11" t="s">
        <v>140</v>
      </c>
      <c r="D35">
        <v>889.3</v>
      </c>
      <c r="E35">
        <v>0.12</v>
      </c>
      <c r="F35">
        <v>1.1000000000000001</v>
      </c>
      <c r="G35">
        <v>0.6</v>
      </c>
      <c r="H35">
        <v>1.1000000000000001</v>
      </c>
      <c r="I35">
        <v>4.5</v>
      </c>
      <c r="J35">
        <v>3.6</v>
      </c>
      <c r="K35" s="11" t="s">
        <v>101</v>
      </c>
      <c r="L35">
        <v>0.92</v>
      </c>
      <c r="M35">
        <v>1.8</v>
      </c>
      <c r="N35">
        <v>52.4</v>
      </c>
      <c r="O35">
        <v>89.7</v>
      </c>
      <c r="P35">
        <v>78.900000000000006</v>
      </c>
      <c r="Q35">
        <v>1.08</v>
      </c>
      <c r="R35">
        <v>77.849999999999994</v>
      </c>
      <c r="S35">
        <v>2487.5</v>
      </c>
      <c r="T35" s="10">
        <v>2.78</v>
      </c>
      <c r="U35" t="s">
        <v>89</v>
      </c>
      <c r="V35">
        <v>8.8000000000000007</v>
      </c>
      <c r="W35" t="s">
        <v>90</v>
      </c>
      <c r="X35">
        <v>134.5</v>
      </c>
      <c r="Y35" s="10">
        <v>2.8</v>
      </c>
      <c r="Z35" s="10">
        <v>2.4</v>
      </c>
    </row>
    <row r="36" spans="1:26">
      <c r="A36" s="11" t="s">
        <v>102</v>
      </c>
      <c r="B36" s="8">
        <v>45519</v>
      </c>
      <c r="C36" s="11" t="s">
        <v>103</v>
      </c>
      <c r="D36">
        <v>8156.3</v>
      </c>
      <c r="E36">
        <v>-0.15</v>
      </c>
      <c r="F36">
        <v>3.1</v>
      </c>
      <c r="G36">
        <v>1.1000000000000001</v>
      </c>
      <c r="H36">
        <v>2</v>
      </c>
      <c r="I36">
        <v>5.25</v>
      </c>
      <c r="J36">
        <v>4.2</v>
      </c>
      <c r="K36" s="11" t="s">
        <v>104</v>
      </c>
      <c r="L36">
        <v>0.78</v>
      </c>
      <c r="M36">
        <v>-0.9</v>
      </c>
      <c r="N36">
        <v>101.2</v>
      </c>
      <c r="O36">
        <v>-85.6</v>
      </c>
      <c r="P36">
        <v>45.2</v>
      </c>
      <c r="Q36">
        <v>1.06</v>
      </c>
      <c r="R36">
        <v>77.849999999999994</v>
      </c>
      <c r="S36">
        <v>2487.5</v>
      </c>
      <c r="T36" s="10">
        <v>3.89</v>
      </c>
      <c r="U36" t="s">
        <v>105</v>
      </c>
      <c r="V36">
        <v>7.9</v>
      </c>
      <c r="W36" t="s">
        <v>95</v>
      </c>
      <c r="X36">
        <v>97.8</v>
      </c>
      <c r="Y36" s="10">
        <v>0.9</v>
      </c>
      <c r="Z36" s="10">
        <v>1.2</v>
      </c>
    </row>
    <row r="37" spans="1:26">
      <c r="A37" s="11" t="s">
        <v>123</v>
      </c>
      <c r="B37" s="8">
        <v>45519</v>
      </c>
      <c r="C37" s="11" t="s">
        <v>124</v>
      </c>
      <c r="D37">
        <v>2634.5</v>
      </c>
      <c r="E37">
        <v>-0.34</v>
      </c>
      <c r="F37">
        <v>1.9</v>
      </c>
      <c r="G37">
        <v>3.1</v>
      </c>
      <c r="H37">
        <v>2.4</v>
      </c>
      <c r="I37">
        <v>3.5</v>
      </c>
      <c r="J37">
        <v>2.9</v>
      </c>
      <c r="K37" s="11" t="s">
        <v>125</v>
      </c>
      <c r="L37">
        <v>1342.5</v>
      </c>
      <c r="M37">
        <v>-2.1</v>
      </c>
      <c r="N37">
        <v>54.6</v>
      </c>
      <c r="O37">
        <v>67.400000000000006</v>
      </c>
      <c r="P37">
        <v>12.8</v>
      </c>
      <c r="Q37">
        <v>1.02</v>
      </c>
      <c r="R37">
        <v>77.849999999999994</v>
      </c>
      <c r="S37">
        <v>2487.5</v>
      </c>
      <c r="T37" s="10">
        <v>3.28</v>
      </c>
      <c r="U37" t="s">
        <v>105</v>
      </c>
      <c r="V37">
        <v>7.8</v>
      </c>
      <c r="W37" t="s">
        <v>90</v>
      </c>
      <c r="X37">
        <v>95.6</v>
      </c>
      <c r="Y37" s="10">
        <v>9.1</v>
      </c>
      <c r="Z37" s="10">
        <v>7.8</v>
      </c>
    </row>
    <row r="38" spans="1:26">
      <c r="A38" s="11" t="s">
        <v>213</v>
      </c>
      <c r="B38" s="8">
        <v>45519</v>
      </c>
      <c r="C38" s="11" t="s">
        <v>214</v>
      </c>
      <c r="D38">
        <v>1987.3</v>
      </c>
      <c r="E38">
        <v>-0.78</v>
      </c>
      <c r="F38">
        <v>0.4</v>
      </c>
      <c r="G38">
        <v>2</v>
      </c>
      <c r="H38">
        <v>2.2999999999999998</v>
      </c>
      <c r="I38">
        <v>4.75</v>
      </c>
      <c r="J38">
        <v>3.4</v>
      </c>
      <c r="K38" s="11" t="s">
        <v>215</v>
      </c>
      <c r="L38">
        <v>3.68</v>
      </c>
      <c r="M38">
        <v>-2.1</v>
      </c>
      <c r="N38">
        <v>60.9</v>
      </c>
      <c r="O38">
        <v>23.4</v>
      </c>
      <c r="P38">
        <v>18.899999999999999</v>
      </c>
      <c r="Q38">
        <v>1.03</v>
      </c>
      <c r="R38">
        <v>77.849999999999994</v>
      </c>
      <c r="S38">
        <v>2487.5</v>
      </c>
      <c r="T38" s="10">
        <v>4.5599999999999996</v>
      </c>
      <c r="U38" t="s">
        <v>94</v>
      </c>
      <c r="V38">
        <v>6.8</v>
      </c>
      <c r="W38" t="s">
        <v>95</v>
      </c>
      <c r="X38">
        <v>89.7</v>
      </c>
      <c r="Y38" s="10">
        <v>5.6</v>
      </c>
      <c r="Z38" s="10">
        <v>4.2</v>
      </c>
    </row>
    <row r="39" spans="1:26">
      <c r="A39" s="11" t="s">
        <v>91</v>
      </c>
      <c r="B39" s="8">
        <v>45519</v>
      </c>
      <c r="C39" s="11" t="s">
        <v>92</v>
      </c>
      <c r="D39">
        <v>2891.6</v>
      </c>
      <c r="E39">
        <v>-0.82</v>
      </c>
      <c r="F39">
        <v>12.4</v>
      </c>
      <c r="G39">
        <v>5.2</v>
      </c>
      <c r="H39">
        <v>0.8</v>
      </c>
      <c r="I39">
        <v>3.1</v>
      </c>
      <c r="J39">
        <v>5.2</v>
      </c>
      <c r="K39" s="11" t="s">
        <v>93</v>
      </c>
      <c r="L39">
        <v>7.28</v>
      </c>
      <c r="M39">
        <v>2.2999999999999998</v>
      </c>
      <c r="N39">
        <v>77.099999999999994</v>
      </c>
      <c r="O39">
        <v>382.9</v>
      </c>
      <c r="P39">
        <v>189.7</v>
      </c>
      <c r="Q39">
        <v>0.98</v>
      </c>
      <c r="R39">
        <v>77.849999999999994</v>
      </c>
      <c r="S39">
        <v>2487.5</v>
      </c>
      <c r="T39" s="10">
        <v>2.15</v>
      </c>
      <c r="U39" t="s">
        <v>94</v>
      </c>
      <c r="V39">
        <v>6.7</v>
      </c>
      <c r="W39" t="s">
        <v>95</v>
      </c>
      <c r="X39">
        <v>98.7</v>
      </c>
      <c r="Y39" s="10">
        <v>8.9</v>
      </c>
      <c r="Z39" s="10">
        <v>6.1</v>
      </c>
    </row>
    <row r="40" spans="1:26">
      <c r="A40" s="11" t="s">
        <v>156</v>
      </c>
      <c r="B40" s="8">
        <v>45519</v>
      </c>
      <c r="C40" s="11" t="s">
        <v>157</v>
      </c>
      <c r="D40">
        <v>17234.5</v>
      </c>
      <c r="E40">
        <v>-1.23</v>
      </c>
      <c r="F40">
        <v>4.2</v>
      </c>
      <c r="G40">
        <v>3.2</v>
      </c>
      <c r="H40">
        <v>1.8</v>
      </c>
      <c r="I40">
        <v>5.75</v>
      </c>
      <c r="J40">
        <v>2.8</v>
      </c>
      <c r="K40" s="11" t="s">
        <v>158</v>
      </c>
      <c r="L40">
        <v>7.82</v>
      </c>
      <c r="M40">
        <v>0.1</v>
      </c>
      <c r="N40">
        <v>0.1</v>
      </c>
      <c r="O40">
        <v>34.5</v>
      </c>
      <c r="P40">
        <v>67.8</v>
      </c>
      <c r="Q40">
        <v>0.98</v>
      </c>
      <c r="R40">
        <v>77.849999999999994</v>
      </c>
      <c r="S40">
        <v>2487.5</v>
      </c>
      <c r="T40" s="10">
        <v>3.89</v>
      </c>
      <c r="U40" t="s">
        <v>159</v>
      </c>
      <c r="V40">
        <v>7.2</v>
      </c>
      <c r="W40" t="s">
        <v>95</v>
      </c>
      <c r="X40">
        <v>87.6</v>
      </c>
      <c r="Y40" s="10">
        <v>6.7</v>
      </c>
      <c r="Z40" s="10">
        <v>5.9</v>
      </c>
    </row>
  </sheetData>
  <conditionalFormatting sqref="H34">
    <cfRule type="cellIs" dxfId="0" priority="1" operator="greaterThan">
      <formula>"blanks"</formula>
    </cfRule>
  </conditionalFormatting>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546775-8D56-9445-8996-6E5CC9912679}">
  <dimension ref="A1:Z40"/>
  <sheetViews>
    <sheetView zoomScale="63" workbookViewId="0"/>
  </sheetViews>
  <sheetFormatPr baseColWidth="10" defaultRowHeight="16"/>
  <cols>
    <col min="1" max="1" width="10.83203125" style="11"/>
    <col min="3" max="3" width="10.83203125" style="11"/>
    <col min="5" max="5" width="22.6640625" customWidth="1"/>
    <col min="6" max="6" width="25.5" customWidth="1"/>
    <col min="7" max="7" width="24.5" customWidth="1"/>
    <col min="8" max="10" width="22.1640625" customWidth="1"/>
    <col min="11" max="11" width="22.1640625" style="11" customWidth="1"/>
    <col min="12" max="19" width="22.1640625" customWidth="1"/>
    <col min="20" max="20" width="22.1640625" style="10" customWidth="1"/>
    <col min="21" max="24" width="22.1640625" customWidth="1"/>
    <col min="25" max="26" width="21.83203125" style="10" customWidth="1"/>
  </cols>
  <sheetData>
    <row r="1" spans="1:26">
      <c r="A1" s="11" t="s">
        <v>60</v>
      </c>
      <c r="B1" s="8" t="s">
        <v>61</v>
      </c>
      <c r="C1" s="11" t="s">
        <v>62</v>
      </c>
      <c r="D1" s="9" t="s">
        <v>63</v>
      </c>
      <c r="E1" t="s">
        <v>64</v>
      </c>
      <c r="F1" s="9" t="s">
        <v>65</v>
      </c>
      <c r="G1" t="s">
        <v>66</v>
      </c>
      <c r="H1" t="s">
        <v>67</v>
      </c>
      <c r="I1" t="s">
        <v>68</v>
      </c>
      <c r="J1" t="s">
        <v>69</v>
      </c>
      <c r="K1" s="11" t="s">
        <v>70</v>
      </c>
      <c r="L1" t="s">
        <v>71</v>
      </c>
      <c r="M1" t="s">
        <v>72</v>
      </c>
      <c r="N1" t="s">
        <v>73</v>
      </c>
      <c r="O1" t="s">
        <v>74</v>
      </c>
      <c r="P1" t="s">
        <v>75</v>
      </c>
      <c r="Q1" t="s">
        <v>76</v>
      </c>
      <c r="R1" t="s">
        <v>77</v>
      </c>
      <c r="S1" t="s">
        <v>78</v>
      </c>
      <c r="T1" s="10" t="s">
        <v>79</v>
      </c>
      <c r="U1" t="s">
        <v>80</v>
      </c>
      <c r="V1" t="s">
        <v>81</v>
      </c>
      <c r="W1" t="s">
        <v>82</v>
      </c>
      <c r="X1" t="s">
        <v>83</v>
      </c>
      <c r="Y1" s="10" t="s">
        <v>84</v>
      </c>
      <c r="Z1" s="10" t="s">
        <v>85</v>
      </c>
    </row>
    <row r="2" spans="1:26">
      <c r="A2" s="11" t="s">
        <v>86</v>
      </c>
      <c r="B2" s="8">
        <v>45519</v>
      </c>
      <c r="C2" s="11" t="s">
        <v>87</v>
      </c>
      <c r="D2">
        <v>5437.2</v>
      </c>
      <c r="E2">
        <v>0.34</v>
      </c>
      <c r="F2">
        <v>51.2</v>
      </c>
      <c r="G2">
        <v>2.8</v>
      </c>
      <c r="H2">
        <v>2.9</v>
      </c>
      <c r="I2">
        <v>5.5</v>
      </c>
      <c r="J2">
        <v>3.7</v>
      </c>
      <c r="K2" s="11" t="s">
        <v>88</v>
      </c>
      <c r="L2">
        <v>1</v>
      </c>
      <c r="M2">
        <v>0</v>
      </c>
      <c r="N2">
        <v>126.4</v>
      </c>
      <c r="O2">
        <v>-695.2</v>
      </c>
      <c r="P2">
        <v>456.8</v>
      </c>
      <c r="Q2">
        <v>1.1200000000000001</v>
      </c>
      <c r="R2">
        <v>77.849999999999994</v>
      </c>
      <c r="S2">
        <v>2487.5</v>
      </c>
      <c r="T2" s="10">
        <v>4.25</v>
      </c>
      <c r="U2" t="s">
        <v>89</v>
      </c>
      <c r="V2">
        <v>8.1</v>
      </c>
      <c r="W2" t="s">
        <v>90</v>
      </c>
      <c r="X2">
        <v>145.6</v>
      </c>
      <c r="Y2" s="10">
        <v>3.2</v>
      </c>
      <c r="Z2" s="10">
        <v>2.8</v>
      </c>
    </row>
    <row r="3" spans="1:26">
      <c r="A3" s="11" t="s">
        <v>91</v>
      </c>
      <c r="B3" s="8">
        <v>45519</v>
      </c>
      <c r="C3" s="11" t="s">
        <v>92</v>
      </c>
      <c r="D3">
        <v>2891.6</v>
      </c>
      <c r="E3">
        <v>-0.82</v>
      </c>
      <c r="F3">
        <v>12.4</v>
      </c>
      <c r="G3">
        <v>5.2</v>
      </c>
      <c r="H3">
        <v>0.8</v>
      </c>
      <c r="I3">
        <v>3.1</v>
      </c>
      <c r="J3">
        <v>5.2</v>
      </c>
      <c r="K3" s="11" t="s">
        <v>93</v>
      </c>
      <c r="L3">
        <v>7.28</v>
      </c>
      <c r="M3">
        <v>2.2999999999999998</v>
      </c>
      <c r="N3">
        <v>77.099999999999994</v>
      </c>
      <c r="O3">
        <v>382.9</v>
      </c>
      <c r="P3">
        <v>189.7</v>
      </c>
      <c r="Q3">
        <v>0.98</v>
      </c>
      <c r="R3">
        <v>77.849999999999994</v>
      </c>
      <c r="S3">
        <v>2487.5</v>
      </c>
      <c r="T3" s="10">
        <v>2.15</v>
      </c>
      <c r="U3" t="s">
        <v>94</v>
      </c>
      <c r="V3">
        <v>6.7</v>
      </c>
      <c r="W3" t="s">
        <v>95</v>
      </c>
      <c r="X3">
        <v>98.7</v>
      </c>
      <c r="Y3" s="10">
        <v>8.9</v>
      </c>
      <c r="Z3" s="10">
        <v>6.1</v>
      </c>
    </row>
    <row r="4" spans="1:26">
      <c r="A4" s="11" t="s">
        <v>96</v>
      </c>
      <c r="B4" s="8">
        <v>45519</v>
      </c>
      <c r="C4" s="11" t="s">
        <v>97</v>
      </c>
      <c r="D4">
        <v>36789.1</v>
      </c>
      <c r="E4">
        <v>1.24</v>
      </c>
      <c r="F4">
        <v>6.8</v>
      </c>
      <c r="G4">
        <v>0.9</v>
      </c>
      <c r="H4">
        <v>2.8</v>
      </c>
      <c r="I4">
        <v>-0.1</v>
      </c>
      <c r="J4">
        <v>2.4</v>
      </c>
      <c r="K4" s="11" t="s">
        <v>98</v>
      </c>
      <c r="L4">
        <v>147.19999999999999</v>
      </c>
      <c r="M4">
        <v>-8.9</v>
      </c>
      <c r="N4">
        <v>263.10000000000002</v>
      </c>
      <c r="O4">
        <v>49.7</v>
      </c>
      <c r="P4">
        <v>23.4</v>
      </c>
      <c r="Q4">
        <v>1.05</v>
      </c>
      <c r="R4">
        <v>77.849999999999994</v>
      </c>
      <c r="S4">
        <v>2487.5</v>
      </c>
      <c r="T4" s="10">
        <v>0.89</v>
      </c>
      <c r="U4" t="s">
        <v>94</v>
      </c>
      <c r="V4">
        <v>8.4</v>
      </c>
      <c r="W4" t="s">
        <v>90</v>
      </c>
      <c r="X4">
        <v>89.3</v>
      </c>
      <c r="Y4" s="10">
        <v>5.0999999999999996</v>
      </c>
      <c r="Z4" s="10">
        <v>4.7</v>
      </c>
    </row>
    <row r="5" spans="1:26">
      <c r="A5" s="11" t="s">
        <v>99</v>
      </c>
      <c r="B5" s="8">
        <v>45519</v>
      </c>
      <c r="C5" s="11" t="s">
        <v>100</v>
      </c>
      <c r="D5">
        <v>18234.5</v>
      </c>
      <c r="E5">
        <v>0.67</v>
      </c>
      <c r="F5">
        <v>2.9</v>
      </c>
      <c r="G5">
        <v>0.3</v>
      </c>
      <c r="H5">
        <v>2.2000000000000002</v>
      </c>
      <c r="I5">
        <v>4.5</v>
      </c>
      <c r="J5">
        <v>3.1</v>
      </c>
      <c r="K5" s="11" t="s">
        <v>101</v>
      </c>
      <c r="L5">
        <v>0.92</v>
      </c>
      <c r="M5">
        <v>1.8</v>
      </c>
      <c r="N5">
        <v>66.3</v>
      </c>
      <c r="O5">
        <v>297.39999999999998</v>
      </c>
      <c r="P5">
        <v>67.8</v>
      </c>
      <c r="Q5">
        <v>1.08</v>
      </c>
      <c r="R5">
        <v>77.849999999999994</v>
      </c>
      <c r="S5">
        <v>2487.5</v>
      </c>
      <c r="T5" s="10">
        <v>2.31</v>
      </c>
      <c r="U5" t="s">
        <v>89</v>
      </c>
      <c r="V5">
        <v>8.6999999999999993</v>
      </c>
      <c r="W5" t="s">
        <v>90</v>
      </c>
      <c r="X5">
        <v>112.4</v>
      </c>
      <c r="Y5" s="10">
        <v>2.1</v>
      </c>
      <c r="Z5" s="10">
        <v>1.8</v>
      </c>
    </row>
    <row r="6" spans="1:26">
      <c r="A6" s="11" t="s">
        <v>102</v>
      </c>
      <c r="B6" s="8">
        <v>45519</v>
      </c>
      <c r="C6" s="11" t="s">
        <v>103</v>
      </c>
      <c r="D6">
        <v>8156.3</v>
      </c>
      <c r="E6">
        <v>-0.15</v>
      </c>
      <c r="F6">
        <v>3.1</v>
      </c>
      <c r="G6">
        <v>1.1000000000000001</v>
      </c>
      <c r="H6">
        <v>2</v>
      </c>
      <c r="I6">
        <v>5.25</v>
      </c>
      <c r="J6">
        <v>4.2</v>
      </c>
      <c r="K6" s="11" t="s">
        <v>104</v>
      </c>
      <c r="L6">
        <v>0.78</v>
      </c>
      <c r="M6">
        <v>-0.9</v>
      </c>
      <c r="N6">
        <v>101.2</v>
      </c>
      <c r="O6">
        <v>-85.6</v>
      </c>
      <c r="P6">
        <v>45.2</v>
      </c>
      <c r="Q6">
        <v>1.06</v>
      </c>
      <c r="R6">
        <v>77.849999999999994</v>
      </c>
      <c r="S6">
        <v>2487.5</v>
      </c>
      <c r="T6" s="10">
        <v>3.89</v>
      </c>
      <c r="U6" t="s">
        <v>105</v>
      </c>
      <c r="V6">
        <v>7.9</v>
      </c>
      <c r="W6" t="s">
        <v>95</v>
      </c>
      <c r="X6">
        <v>97.8</v>
      </c>
      <c r="Y6" s="10">
        <v>0.9</v>
      </c>
      <c r="Z6" s="10">
        <v>1.2</v>
      </c>
    </row>
    <row r="7" spans="1:26">
      <c r="A7" s="11" t="s">
        <v>106</v>
      </c>
      <c r="B7" s="8">
        <v>45519</v>
      </c>
      <c r="C7" s="11" t="s">
        <v>107</v>
      </c>
      <c r="D7">
        <v>7389.2</v>
      </c>
      <c r="E7">
        <v>0.28000000000000003</v>
      </c>
      <c r="F7">
        <v>3</v>
      </c>
      <c r="G7">
        <v>1.3</v>
      </c>
      <c r="H7">
        <v>2.2999999999999998</v>
      </c>
      <c r="I7">
        <v>4.5</v>
      </c>
      <c r="J7">
        <v>7.4</v>
      </c>
      <c r="K7" s="11" t="s">
        <v>101</v>
      </c>
      <c r="L7">
        <v>0.92</v>
      </c>
      <c r="M7">
        <v>1.8</v>
      </c>
      <c r="N7">
        <v>111.8</v>
      </c>
      <c r="O7">
        <v>-22.1</v>
      </c>
      <c r="P7">
        <v>56.7</v>
      </c>
      <c r="Q7">
        <v>1.08</v>
      </c>
      <c r="R7">
        <v>77.849999999999994</v>
      </c>
      <c r="S7">
        <v>2487.5</v>
      </c>
      <c r="T7" s="10">
        <v>2.95</v>
      </c>
      <c r="U7" t="s">
        <v>105</v>
      </c>
      <c r="V7">
        <v>7.3</v>
      </c>
      <c r="W7" t="s">
        <v>95</v>
      </c>
      <c r="X7">
        <v>103.2</v>
      </c>
      <c r="Y7" s="10">
        <v>1.8</v>
      </c>
      <c r="Z7" s="10">
        <v>2.1</v>
      </c>
    </row>
    <row r="8" spans="1:26">
      <c r="A8" s="11" t="s">
        <v>108</v>
      </c>
      <c r="B8" s="8">
        <v>45519</v>
      </c>
      <c r="C8" s="11" t="s">
        <v>109</v>
      </c>
      <c r="D8">
        <v>80456.7</v>
      </c>
      <c r="E8">
        <v>0.89</v>
      </c>
      <c r="F8">
        <v>4.3</v>
      </c>
      <c r="G8">
        <v>6.8</v>
      </c>
      <c r="H8">
        <v>4.9000000000000004</v>
      </c>
      <c r="I8">
        <v>6.5</v>
      </c>
      <c r="J8">
        <v>3.2</v>
      </c>
      <c r="K8" s="11" t="s">
        <v>110</v>
      </c>
      <c r="L8">
        <v>83.7</v>
      </c>
      <c r="M8">
        <v>-0.5</v>
      </c>
      <c r="N8">
        <v>84.2</v>
      </c>
      <c r="O8">
        <v>-23.1</v>
      </c>
      <c r="P8">
        <v>67.400000000000006</v>
      </c>
      <c r="Q8">
        <v>1.1499999999999999</v>
      </c>
      <c r="R8">
        <v>77.849999999999994</v>
      </c>
      <c r="S8">
        <v>2487.5</v>
      </c>
      <c r="T8" s="10">
        <v>7.04</v>
      </c>
      <c r="U8" t="s">
        <v>111</v>
      </c>
      <c r="V8">
        <v>6.8</v>
      </c>
      <c r="W8" t="s">
        <v>95</v>
      </c>
      <c r="X8">
        <v>134.80000000000001</v>
      </c>
      <c r="Y8" s="10">
        <v>13.2</v>
      </c>
      <c r="Z8" s="10">
        <v>10.9</v>
      </c>
    </row>
    <row r="9" spans="1:26">
      <c r="A9" s="11" t="s">
        <v>112</v>
      </c>
      <c r="B9" s="8">
        <v>45519</v>
      </c>
      <c r="C9" s="11" t="s">
        <v>113</v>
      </c>
      <c r="D9">
        <v>22567.8</v>
      </c>
      <c r="E9">
        <v>0.45</v>
      </c>
      <c r="F9">
        <v>2.8</v>
      </c>
      <c r="G9">
        <v>2.9</v>
      </c>
      <c r="H9">
        <v>2.8</v>
      </c>
      <c r="I9">
        <v>4.75</v>
      </c>
      <c r="J9">
        <v>6.1</v>
      </c>
      <c r="K9" s="11" t="s">
        <v>114</v>
      </c>
      <c r="L9">
        <v>1.37</v>
      </c>
      <c r="M9">
        <v>4.2</v>
      </c>
      <c r="N9">
        <v>106.7</v>
      </c>
      <c r="O9">
        <v>12.8</v>
      </c>
      <c r="P9">
        <v>34.5</v>
      </c>
      <c r="Q9">
        <v>1.0900000000000001</v>
      </c>
      <c r="R9">
        <v>77.849999999999994</v>
      </c>
      <c r="S9">
        <v>2487.5</v>
      </c>
      <c r="T9" s="10">
        <v>3.42</v>
      </c>
      <c r="U9" t="s">
        <v>89</v>
      </c>
      <c r="V9">
        <v>8.9</v>
      </c>
      <c r="W9" t="s">
        <v>90</v>
      </c>
      <c r="X9">
        <v>126.7</v>
      </c>
      <c r="Y9" s="10">
        <v>4.0999999999999996</v>
      </c>
      <c r="Z9" s="10">
        <v>3.8</v>
      </c>
    </row>
    <row r="10" spans="1:26">
      <c r="A10" s="11" t="s">
        <v>115</v>
      </c>
      <c r="B10" s="8">
        <v>45519</v>
      </c>
      <c r="C10" s="11" t="s">
        <v>116</v>
      </c>
      <c r="D10">
        <v>129834.2</v>
      </c>
      <c r="E10">
        <v>1.67</v>
      </c>
      <c r="F10">
        <v>1.4</v>
      </c>
      <c r="G10">
        <v>2.1</v>
      </c>
      <c r="H10">
        <v>4.5</v>
      </c>
      <c r="I10">
        <v>10.75</v>
      </c>
      <c r="J10">
        <v>7.8</v>
      </c>
      <c r="K10" s="11" t="s">
        <v>117</v>
      </c>
      <c r="L10">
        <v>5.47</v>
      </c>
      <c r="M10">
        <v>-8.9</v>
      </c>
      <c r="N10">
        <v>87.7</v>
      </c>
      <c r="O10">
        <v>-46.9</v>
      </c>
      <c r="P10">
        <v>67.2</v>
      </c>
      <c r="Q10">
        <v>0.95</v>
      </c>
      <c r="R10">
        <v>77.849999999999994</v>
      </c>
      <c r="S10">
        <v>2487.5</v>
      </c>
      <c r="T10" s="10">
        <v>10.84</v>
      </c>
      <c r="U10" t="s">
        <v>118</v>
      </c>
      <c r="V10">
        <v>5.4</v>
      </c>
      <c r="W10" t="s">
        <v>119</v>
      </c>
      <c r="X10">
        <v>89.3</v>
      </c>
      <c r="Y10" s="10">
        <v>8.6999999999999993</v>
      </c>
      <c r="Z10" s="10">
        <v>6.9</v>
      </c>
    </row>
    <row r="11" spans="1:26">
      <c r="A11" s="11" t="s">
        <v>120</v>
      </c>
      <c r="B11" s="8">
        <v>45519</v>
      </c>
      <c r="C11" s="11" t="s">
        <v>121</v>
      </c>
      <c r="D11">
        <v>7923.4</v>
      </c>
      <c r="E11">
        <v>0.22</v>
      </c>
      <c r="F11">
        <v>1.8</v>
      </c>
      <c r="G11">
        <v>1.7</v>
      </c>
      <c r="H11">
        <v>3.8</v>
      </c>
      <c r="I11">
        <v>4.3499999999999996</v>
      </c>
      <c r="J11">
        <v>4.0999999999999996</v>
      </c>
      <c r="K11" s="11" t="s">
        <v>122</v>
      </c>
      <c r="L11">
        <v>1.52</v>
      </c>
      <c r="M11">
        <v>5.6</v>
      </c>
      <c r="N11">
        <v>45.1</v>
      </c>
      <c r="O11">
        <v>67.8</v>
      </c>
      <c r="P11">
        <v>45.7</v>
      </c>
      <c r="Q11">
        <v>1.1100000000000001</v>
      </c>
      <c r="R11">
        <v>77.849999999999994</v>
      </c>
      <c r="S11">
        <v>2487.5</v>
      </c>
      <c r="T11" s="10">
        <v>4.07</v>
      </c>
      <c r="U11" t="s">
        <v>89</v>
      </c>
      <c r="V11">
        <v>8.6</v>
      </c>
      <c r="W11" t="s">
        <v>90</v>
      </c>
      <c r="X11">
        <v>118.9</v>
      </c>
      <c r="Y11" s="10">
        <v>6.2</v>
      </c>
      <c r="Z11" s="10">
        <v>5.4</v>
      </c>
    </row>
    <row r="12" spans="1:26">
      <c r="A12" s="11" t="s">
        <v>123</v>
      </c>
      <c r="B12" s="8">
        <v>45519</v>
      </c>
      <c r="C12" s="11" t="s">
        <v>124</v>
      </c>
      <c r="D12">
        <v>2634.5</v>
      </c>
      <c r="E12">
        <v>-0.34</v>
      </c>
      <c r="F12">
        <v>1.9</v>
      </c>
      <c r="G12">
        <v>3.1</v>
      </c>
      <c r="H12">
        <v>2.4</v>
      </c>
      <c r="I12">
        <v>3.5</v>
      </c>
      <c r="J12">
        <v>2.9</v>
      </c>
      <c r="K12" s="11" t="s">
        <v>125</v>
      </c>
      <c r="L12">
        <v>1342.5</v>
      </c>
      <c r="M12">
        <v>-2.1</v>
      </c>
      <c r="N12">
        <v>54.6</v>
      </c>
      <c r="O12">
        <v>67.400000000000006</v>
      </c>
      <c r="P12">
        <v>12.8</v>
      </c>
      <c r="Q12">
        <v>1.02</v>
      </c>
      <c r="R12">
        <v>77.849999999999994</v>
      </c>
      <c r="S12">
        <v>2487.5</v>
      </c>
      <c r="T12" s="10">
        <v>3.28</v>
      </c>
      <c r="U12" t="s">
        <v>105</v>
      </c>
      <c r="V12">
        <v>7.8</v>
      </c>
      <c r="W12" t="s">
        <v>90</v>
      </c>
      <c r="X12">
        <v>95.6</v>
      </c>
      <c r="Y12" s="10">
        <v>9.1</v>
      </c>
      <c r="Z12" s="10">
        <v>7.8</v>
      </c>
    </row>
    <row r="13" spans="1:26">
      <c r="A13" s="11" t="s">
        <v>126</v>
      </c>
      <c r="B13" s="8">
        <v>45519</v>
      </c>
      <c r="C13" s="11" t="s">
        <v>127</v>
      </c>
      <c r="D13">
        <v>2789.1</v>
      </c>
      <c r="E13">
        <v>0.78</v>
      </c>
      <c r="F13">
        <v>0.6</v>
      </c>
      <c r="G13">
        <v>-1.9</v>
      </c>
      <c r="H13">
        <v>7.4</v>
      </c>
      <c r="I13">
        <v>16</v>
      </c>
      <c r="J13">
        <v>3.4</v>
      </c>
      <c r="K13" s="11" t="s">
        <v>128</v>
      </c>
      <c r="L13">
        <v>91.2</v>
      </c>
      <c r="M13">
        <v>-15.6</v>
      </c>
      <c r="N13">
        <v>21.4</v>
      </c>
      <c r="O13">
        <v>67.8</v>
      </c>
      <c r="P13">
        <v>8.9</v>
      </c>
      <c r="Q13">
        <v>0.87</v>
      </c>
      <c r="R13">
        <v>77.849999999999994</v>
      </c>
      <c r="S13">
        <v>2487.5</v>
      </c>
      <c r="T13" s="10">
        <v>12.45</v>
      </c>
      <c r="U13" t="s">
        <v>129</v>
      </c>
      <c r="V13">
        <v>3.2</v>
      </c>
      <c r="W13" t="s">
        <v>119</v>
      </c>
      <c r="X13">
        <v>67.400000000000006</v>
      </c>
      <c r="Y13" s="10">
        <v>15.2</v>
      </c>
      <c r="Z13" s="10">
        <v>18.7</v>
      </c>
    </row>
    <row r="14" spans="1:26">
      <c r="A14" s="11" t="s">
        <v>130</v>
      </c>
      <c r="B14" s="8">
        <v>45519</v>
      </c>
      <c r="C14" s="11" t="s">
        <v>131</v>
      </c>
      <c r="D14">
        <v>55234.6</v>
      </c>
      <c r="E14">
        <v>0.91</v>
      </c>
      <c r="F14">
        <v>0.7</v>
      </c>
      <c r="G14">
        <v>2.4</v>
      </c>
      <c r="H14">
        <v>4.7</v>
      </c>
      <c r="I14">
        <v>11</v>
      </c>
      <c r="J14">
        <v>2.8</v>
      </c>
      <c r="K14" s="11" t="s">
        <v>132</v>
      </c>
      <c r="L14">
        <v>19.8</v>
      </c>
      <c r="M14">
        <v>-10.199999999999999</v>
      </c>
      <c r="N14">
        <v>54.7</v>
      </c>
      <c r="O14">
        <v>-12.4</v>
      </c>
      <c r="P14">
        <v>34.700000000000003</v>
      </c>
      <c r="Q14">
        <v>0.89</v>
      </c>
      <c r="R14">
        <v>77.849999999999994</v>
      </c>
      <c r="S14">
        <v>2487.5</v>
      </c>
      <c r="T14" s="10">
        <v>9.1199999999999992</v>
      </c>
      <c r="U14" t="s">
        <v>133</v>
      </c>
      <c r="V14">
        <v>6.1</v>
      </c>
      <c r="W14" t="s">
        <v>95</v>
      </c>
      <c r="X14">
        <v>102.3</v>
      </c>
      <c r="Y14" s="10">
        <v>7.9</v>
      </c>
      <c r="Z14" s="10">
        <v>8.1999999999999993</v>
      </c>
    </row>
    <row r="15" spans="1:26">
      <c r="A15" s="11" t="s">
        <v>134</v>
      </c>
      <c r="B15" s="8">
        <v>45519</v>
      </c>
      <c r="C15" s="11" t="s">
        <v>135</v>
      </c>
      <c r="D15">
        <v>33456.699999999997</v>
      </c>
      <c r="E15">
        <v>0.34</v>
      </c>
      <c r="F15">
        <v>0.9</v>
      </c>
      <c r="G15">
        <v>0.7</v>
      </c>
      <c r="H15">
        <v>1</v>
      </c>
      <c r="I15">
        <v>4.5</v>
      </c>
      <c r="J15">
        <v>7.6</v>
      </c>
      <c r="K15" s="11" t="s">
        <v>101</v>
      </c>
      <c r="L15">
        <v>0.92</v>
      </c>
      <c r="M15">
        <v>1.8</v>
      </c>
      <c r="N15">
        <v>144.4</v>
      </c>
      <c r="O15">
        <v>-56.7</v>
      </c>
      <c r="P15">
        <v>28.9</v>
      </c>
      <c r="Q15">
        <v>1.08</v>
      </c>
      <c r="R15">
        <v>77.849999999999994</v>
      </c>
      <c r="S15">
        <v>2487.5</v>
      </c>
      <c r="T15" s="10">
        <v>3.67</v>
      </c>
      <c r="U15" t="s">
        <v>133</v>
      </c>
      <c r="V15">
        <v>7.1</v>
      </c>
      <c r="W15" t="s">
        <v>95</v>
      </c>
      <c r="X15">
        <v>89.7</v>
      </c>
      <c r="Y15" s="10">
        <v>3.2</v>
      </c>
      <c r="Z15" s="10">
        <v>2.9</v>
      </c>
    </row>
    <row r="16" spans="1:26">
      <c r="A16" s="11" t="s">
        <v>136</v>
      </c>
      <c r="B16" s="8">
        <v>45519</v>
      </c>
      <c r="C16" s="11" t="s">
        <v>137</v>
      </c>
      <c r="D16">
        <v>11123.8</v>
      </c>
      <c r="E16">
        <v>0.67</v>
      </c>
      <c r="F16">
        <v>0.8</v>
      </c>
      <c r="G16">
        <v>2.5</v>
      </c>
      <c r="H16">
        <v>3.2</v>
      </c>
      <c r="I16">
        <v>4.5</v>
      </c>
      <c r="J16">
        <v>11.5</v>
      </c>
      <c r="K16" s="11" t="s">
        <v>101</v>
      </c>
      <c r="L16">
        <v>0.92</v>
      </c>
      <c r="M16">
        <v>1.8</v>
      </c>
      <c r="N16">
        <v>107.7</v>
      </c>
      <c r="O16">
        <v>23.4</v>
      </c>
      <c r="P16">
        <v>45.6</v>
      </c>
      <c r="Q16">
        <v>1.08</v>
      </c>
      <c r="R16">
        <v>77.849999999999994</v>
      </c>
      <c r="S16">
        <v>2487.5</v>
      </c>
      <c r="T16" s="10">
        <v>3.21</v>
      </c>
      <c r="U16" t="s">
        <v>138</v>
      </c>
      <c r="V16">
        <v>7.8</v>
      </c>
      <c r="W16" t="s">
        <v>95</v>
      </c>
      <c r="X16">
        <v>98.3</v>
      </c>
      <c r="Y16" s="10">
        <v>4.0999999999999996</v>
      </c>
      <c r="Z16" s="10">
        <v>3.7</v>
      </c>
    </row>
    <row r="17" spans="1:26">
      <c r="A17" s="11" t="s">
        <v>139</v>
      </c>
      <c r="B17" s="8">
        <v>45519</v>
      </c>
      <c r="C17" s="11" t="s">
        <v>140</v>
      </c>
      <c r="D17">
        <v>889.3</v>
      </c>
      <c r="E17">
        <v>0.12</v>
      </c>
      <c r="F17">
        <v>1.1000000000000001</v>
      </c>
      <c r="G17">
        <v>0.6</v>
      </c>
      <c r="H17">
        <v>1.1000000000000001</v>
      </c>
      <c r="I17">
        <v>4.5</v>
      </c>
      <c r="J17">
        <v>3.6</v>
      </c>
      <c r="K17" s="11" t="s">
        <v>101</v>
      </c>
      <c r="L17">
        <v>0.92</v>
      </c>
      <c r="M17">
        <v>1.8</v>
      </c>
      <c r="N17">
        <v>52.4</v>
      </c>
      <c r="O17">
        <v>89.7</v>
      </c>
      <c r="P17">
        <v>78.900000000000006</v>
      </c>
      <c r="Q17">
        <v>1.08</v>
      </c>
      <c r="R17">
        <v>77.849999999999994</v>
      </c>
      <c r="S17">
        <v>2487.5</v>
      </c>
      <c r="T17" s="10">
        <v>2.78</v>
      </c>
      <c r="U17" t="s">
        <v>89</v>
      </c>
      <c r="V17">
        <v>8.8000000000000007</v>
      </c>
      <c r="W17" t="s">
        <v>90</v>
      </c>
      <c r="X17">
        <v>134.5</v>
      </c>
      <c r="Y17" s="10">
        <v>2.8</v>
      </c>
      <c r="Z17" s="10">
        <v>2.4</v>
      </c>
    </row>
    <row r="18" spans="1:26">
      <c r="A18" s="11" t="s">
        <v>141</v>
      </c>
      <c r="B18" s="8">
        <v>45519</v>
      </c>
      <c r="C18" s="11" t="s">
        <v>142</v>
      </c>
      <c r="D18">
        <v>12234.5</v>
      </c>
      <c r="E18">
        <v>0.28000000000000003</v>
      </c>
      <c r="F18">
        <v>1.8</v>
      </c>
      <c r="G18">
        <v>1.2</v>
      </c>
      <c r="H18">
        <v>1.4</v>
      </c>
      <c r="I18">
        <v>1.25</v>
      </c>
      <c r="J18">
        <v>2.4</v>
      </c>
      <c r="K18" s="11" t="s">
        <v>143</v>
      </c>
      <c r="L18">
        <v>0.87</v>
      </c>
      <c r="M18">
        <v>6.2</v>
      </c>
      <c r="N18">
        <v>41</v>
      </c>
      <c r="O18">
        <v>67.8</v>
      </c>
      <c r="P18">
        <v>23.4</v>
      </c>
      <c r="Q18">
        <v>1.1299999999999999</v>
      </c>
      <c r="R18">
        <v>77.849999999999994</v>
      </c>
      <c r="S18">
        <v>2487.5</v>
      </c>
      <c r="T18" s="10">
        <v>0.68</v>
      </c>
      <c r="U18" t="s">
        <v>89</v>
      </c>
      <c r="V18">
        <v>9.1</v>
      </c>
      <c r="W18" t="s">
        <v>90</v>
      </c>
      <c r="X18">
        <v>142.6</v>
      </c>
      <c r="Y18" s="10">
        <v>1.9</v>
      </c>
      <c r="Z18" s="10">
        <v>2.1</v>
      </c>
    </row>
    <row r="19" spans="1:26">
      <c r="A19" s="11" t="s">
        <v>144</v>
      </c>
      <c r="B19" s="8">
        <v>45519</v>
      </c>
      <c r="C19" s="11" t="s">
        <v>145</v>
      </c>
      <c r="D19">
        <v>2567.8000000000002</v>
      </c>
      <c r="E19">
        <v>0.45</v>
      </c>
      <c r="F19">
        <v>0.7</v>
      </c>
      <c r="G19">
        <v>0.8</v>
      </c>
      <c r="H19">
        <v>1.9</v>
      </c>
      <c r="I19">
        <v>3.75</v>
      </c>
      <c r="J19">
        <v>7.8</v>
      </c>
      <c r="K19" s="11" t="s">
        <v>146</v>
      </c>
      <c r="L19">
        <v>10.9</v>
      </c>
      <c r="M19">
        <v>-4.7</v>
      </c>
      <c r="N19">
        <v>35.1</v>
      </c>
      <c r="O19">
        <v>34.5</v>
      </c>
      <c r="P19">
        <v>12.8</v>
      </c>
      <c r="Q19">
        <v>1.07</v>
      </c>
      <c r="R19">
        <v>77.849999999999994</v>
      </c>
      <c r="S19">
        <v>2487.5</v>
      </c>
      <c r="T19" s="10">
        <v>2.34</v>
      </c>
      <c r="U19" t="s">
        <v>89</v>
      </c>
      <c r="V19">
        <v>8.9</v>
      </c>
      <c r="W19" t="s">
        <v>90</v>
      </c>
      <c r="X19">
        <v>119.8</v>
      </c>
      <c r="Y19" s="10">
        <v>3.4</v>
      </c>
      <c r="Z19" s="10">
        <v>2.9</v>
      </c>
    </row>
    <row r="20" spans="1:26">
      <c r="A20" s="11" t="s">
        <v>147</v>
      </c>
      <c r="B20" s="8">
        <v>45519</v>
      </c>
      <c r="C20" s="11" t="s">
        <v>148</v>
      </c>
      <c r="D20">
        <v>1345.6</v>
      </c>
      <c r="E20">
        <v>0.67</v>
      </c>
      <c r="F20">
        <v>0.4</v>
      </c>
      <c r="G20">
        <v>2.1</v>
      </c>
      <c r="H20">
        <v>3.1</v>
      </c>
      <c r="I20">
        <v>4.5</v>
      </c>
      <c r="J20">
        <v>3.4</v>
      </c>
      <c r="K20" s="11" t="s">
        <v>149</v>
      </c>
      <c r="L20">
        <v>11.2</v>
      </c>
      <c r="M20">
        <v>2.8</v>
      </c>
      <c r="N20">
        <v>45.7</v>
      </c>
      <c r="O20">
        <v>78.900000000000006</v>
      </c>
      <c r="P20">
        <v>8.9</v>
      </c>
      <c r="Q20">
        <v>1.1399999999999999</v>
      </c>
      <c r="R20">
        <v>77.849999999999994</v>
      </c>
      <c r="S20">
        <v>2487.5</v>
      </c>
      <c r="T20" s="10">
        <v>3.12</v>
      </c>
      <c r="U20" t="s">
        <v>89</v>
      </c>
      <c r="V20">
        <v>9</v>
      </c>
      <c r="W20" t="s">
        <v>90</v>
      </c>
      <c r="X20">
        <v>127.3</v>
      </c>
      <c r="Y20" s="10">
        <v>8.9</v>
      </c>
      <c r="Z20" s="10">
        <v>6.7</v>
      </c>
    </row>
    <row r="21" spans="1:26">
      <c r="A21" s="11" t="s">
        <v>150</v>
      </c>
      <c r="B21" s="8">
        <v>45519</v>
      </c>
      <c r="C21" s="11" t="s">
        <v>151</v>
      </c>
      <c r="D21">
        <v>2234.5</v>
      </c>
      <c r="E21">
        <v>0.23</v>
      </c>
      <c r="F21">
        <v>0.4</v>
      </c>
      <c r="G21">
        <v>1.8</v>
      </c>
      <c r="H21">
        <v>1.7</v>
      </c>
      <c r="I21">
        <v>3.6</v>
      </c>
      <c r="J21">
        <v>5.0999999999999996</v>
      </c>
      <c r="K21" s="11" t="s">
        <v>152</v>
      </c>
      <c r="L21">
        <v>6.86</v>
      </c>
      <c r="M21">
        <v>1.9</v>
      </c>
      <c r="N21">
        <v>29.8</v>
      </c>
      <c r="O21">
        <v>23.4</v>
      </c>
      <c r="P21">
        <v>5.6</v>
      </c>
      <c r="Q21">
        <v>1.08</v>
      </c>
      <c r="R21">
        <v>77.849999999999994</v>
      </c>
      <c r="S21">
        <v>2487.5</v>
      </c>
      <c r="T21" s="10">
        <v>2.4500000000000002</v>
      </c>
      <c r="U21" t="s">
        <v>89</v>
      </c>
      <c r="V21">
        <v>8.9</v>
      </c>
      <c r="W21" t="s">
        <v>90</v>
      </c>
      <c r="X21">
        <v>124.7</v>
      </c>
      <c r="Y21" s="10">
        <v>2.1</v>
      </c>
      <c r="Z21" s="10">
        <v>1.8</v>
      </c>
    </row>
    <row r="22" spans="1:26">
      <c r="A22" s="11" t="s">
        <v>153</v>
      </c>
      <c r="B22" s="8">
        <v>45519</v>
      </c>
      <c r="C22" s="11" t="s">
        <v>154</v>
      </c>
      <c r="D22">
        <v>3456.7</v>
      </c>
      <c r="E22">
        <v>0.56000000000000005</v>
      </c>
      <c r="F22">
        <v>0.8</v>
      </c>
      <c r="G22">
        <v>2.6</v>
      </c>
      <c r="H22">
        <v>2.4</v>
      </c>
      <c r="I22">
        <v>3.5</v>
      </c>
      <c r="J22">
        <v>2.1</v>
      </c>
      <c r="K22" s="11" t="s">
        <v>155</v>
      </c>
      <c r="L22">
        <v>1.35</v>
      </c>
      <c r="M22">
        <v>1.2</v>
      </c>
      <c r="N22">
        <v>130.1</v>
      </c>
      <c r="O22">
        <v>67.8</v>
      </c>
      <c r="P22">
        <v>89.7</v>
      </c>
      <c r="Q22">
        <v>1.0900000000000001</v>
      </c>
      <c r="R22">
        <v>77.849999999999994</v>
      </c>
      <c r="S22">
        <v>2487.5</v>
      </c>
      <c r="T22" s="10">
        <v>3.18</v>
      </c>
      <c r="U22" t="s">
        <v>89</v>
      </c>
      <c r="V22">
        <v>8.6999999999999993</v>
      </c>
      <c r="W22" t="s">
        <v>90</v>
      </c>
      <c r="X22">
        <v>98.9</v>
      </c>
      <c r="Y22" s="10">
        <v>12.4</v>
      </c>
      <c r="Z22" s="10">
        <v>11.7</v>
      </c>
    </row>
    <row r="23" spans="1:26">
      <c r="A23" s="11" t="s">
        <v>156</v>
      </c>
      <c r="B23" s="8">
        <v>45519</v>
      </c>
      <c r="C23" s="11" t="s">
        <v>157</v>
      </c>
      <c r="D23">
        <v>17234.5</v>
      </c>
      <c r="E23">
        <v>-1.23</v>
      </c>
      <c r="F23">
        <v>4.2</v>
      </c>
      <c r="G23">
        <v>3.2</v>
      </c>
      <c r="H23">
        <v>1.8</v>
      </c>
      <c r="I23">
        <v>5.75</v>
      </c>
      <c r="J23">
        <v>2.8</v>
      </c>
      <c r="K23" s="11" t="s">
        <v>158</v>
      </c>
      <c r="L23">
        <v>7.82</v>
      </c>
      <c r="M23">
        <v>0.1</v>
      </c>
      <c r="N23">
        <v>0.1</v>
      </c>
      <c r="O23">
        <v>34.5</v>
      </c>
      <c r="P23">
        <v>67.8</v>
      </c>
      <c r="Q23">
        <v>0.98</v>
      </c>
      <c r="R23">
        <v>77.849999999999994</v>
      </c>
      <c r="S23">
        <v>2487.5</v>
      </c>
      <c r="T23" s="10">
        <v>3.89</v>
      </c>
      <c r="U23" t="s">
        <v>159</v>
      </c>
      <c r="V23">
        <v>7.2</v>
      </c>
      <c r="W23" t="s">
        <v>95</v>
      </c>
      <c r="X23">
        <v>87.6</v>
      </c>
      <c r="Y23" s="10">
        <v>6.7</v>
      </c>
      <c r="Z23" s="10">
        <v>5.9</v>
      </c>
    </row>
    <row r="24" spans="1:26">
      <c r="A24" s="11" t="s">
        <v>160</v>
      </c>
      <c r="B24" s="8">
        <v>45519</v>
      </c>
      <c r="C24" s="11" t="s">
        <v>161</v>
      </c>
      <c r="D24">
        <v>22567.8</v>
      </c>
      <c r="E24">
        <v>0.78</v>
      </c>
      <c r="F24">
        <v>2.1</v>
      </c>
      <c r="G24">
        <v>3.8</v>
      </c>
      <c r="H24">
        <v>2.1</v>
      </c>
      <c r="I24">
        <v>1.5</v>
      </c>
      <c r="J24">
        <v>3.7</v>
      </c>
      <c r="K24" s="11" t="s">
        <v>162</v>
      </c>
      <c r="L24">
        <v>32.1</v>
      </c>
      <c r="M24">
        <v>-1.8</v>
      </c>
      <c r="N24">
        <v>28.7</v>
      </c>
      <c r="O24">
        <v>89.7</v>
      </c>
      <c r="P24">
        <v>12.3</v>
      </c>
      <c r="Q24">
        <v>1.04</v>
      </c>
      <c r="R24">
        <v>77.849999999999994</v>
      </c>
      <c r="S24">
        <v>2487.5</v>
      </c>
      <c r="T24" s="10">
        <v>1.23</v>
      </c>
      <c r="U24" t="s">
        <v>105</v>
      </c>
      <c r="V24">
        <v>8.1</v>
      </c>
      <c r="W24" t="s">
        <v>90</v>
      </c>
      <c r="X24">
        <v>112.4</v>
      </c>
      <c r="Y24" s="10">
        <v>15.2</v>
      </c>
      <c r="Z24" s="10">
        <v>13.8</v>
      </c>
    </row>
    <row r="25" spans="1:26">
      <c r="A25" s="11" t="s">
        <v>163</v>
      </c>
      <c r="B25" s="8">
        <v>45519</v>
      </c>
      <c r="C25" s="11" t="s">
        <v>164</v>
      </c>
      <c r="D25">
        <v>7234.5</v>
      </c>
      <c r="E25">
        <v>0.45</v>
      </c>
      <c r="F25">
        <v>0.7</v>
      </c>
      <c r="G25">
        <v>5.0999999999999996</v>
      </c>
      <c r="H25">
        <v>2.8</v>
      </c>
      <c r="I25">
        <v>6</v>
      </c>
      <c r="J25">
        <v>5.4</v>
      </c>
      <c r="K25" s="11" t="s">
        <v>165</v>
      </c>
      <c r="L25">
        <v>15487</v>
      </c>
      <c r="M25">
        <v>-2.2999999999999998</v>
      </c>
      <c r="N25">
        <v>39.799999999999997</v>
      </c>
      <c r="O25">
        <v>-12.1</v>
      </c>
      <c r="P25">
        <v>23.4</v>
      </c>
      <c r="Q25">
        <v>0.94</v>
      </c>
      <c r="R25">
        <v>77.849999999999994</v>
      </c>
      <c r="S25">
        <v>2487.5</v>
      </c>
      <c r="T25" s="10">
        <v>7.12</v>
      </c>
      <c r="U25" t="s">
        <v>133</v>
      </c>
      <c r="V25">
        <v>6.5</v>
      </c>
      <c r="W25" t="s">
        <v>95</v>
      </c>
      <c r="X25">
        <v>89.7</v>
      </c>
      <c r="Y25" s="10">
        <v>8.9</v>
      </c>
      <c r="Z25" s="10">
        <v>7.3</v>
      </c>
    </row>
    <row r="26" spans="1:26">
      <c r="A26" s="11" t="s">
        <v>166</v>
      </c>
      <c r="B26" s="8">
        <v>45519</v>
      </c>
      <c r="C26" s="11" t="s">
        <v>167</v>
      </c>
      <c r="D26">
        <v>1567.8</v>
      </c>
      <c r="E26">
        <v>0.34</v>
      </c>
      <c r="F26">
        <v>0.6</v>
      </c>
      <c r="G26">
        <v>2.9</v>
      </c>
      <c r="H26">
        <v>0.4</v>
      </c>
      <c r="I26">
        <v>2.5</v>
      </c>
      <c r="J26">
        <v>1.2</v>
      </c>
      <c r="K26" s="11" t="s">
        <v>168</v>
      </c>
      <c r="L26">
        <v>36.200000000000003</v>
      </c>
      <c r="M26">
        <v>3.4</v>
      </c>
      <c r="N26">
        <v>61.4</v>
      </c>
      <c r="O26">
        <v>12.8</v>
      </c>
      <c r="P26">
        <v>8.9</v>
      </c>
      <c r="Q26">
        <v>0.97</v>
      </c>
      <c r="R26">
        <v>77.849999999999994</v>
      </c>
      <c r="S26">
        <v>2487.5</v>
      </c>
      <c r="T26" s="10">
        <v>2.67</v>
      </c>
      <c r="U26" t="s">
        <v>169</v>
      </c>
      <c r="V26">
        <v>7.1</v>
      </c>
      <c r="W26" t="s">
        <v>95</v>
      </c>
      <c r="X26">
        <v>95.3</v>
      </c>
      <c r="Y26" s="10">
        <v>4.0999999999999996</v>
      </c>
      <c r="Z26" s="10">
        <v>3.8</v>
      </c>
    </row>
    <row r="27" spans="1:26">
      <c r="A27" s="11" t="s">
        <v>170</v>
      </c>
      <c r="B27" s="8">
        <v>45519</v>
      </c>
      <c r="C27" s="11" t="s">
        <v>171</v>
      </c>
      <c r="D27">
        <v>1634.5</v>
      </c>
      <c r="E27">
        <v>0.67</v>
      </c>
      <c r="F27">
        <v>0.5</v>
      </c>
      <c r="G27">
        <v>4.2</v>
      </c>
      <c r="H27">
        <v>2</v>
      </c>
      <c r="I27">
        <v>3</v>
      </c>
      <c r="J27">
        <v>3.4</v>
      </c>
      <c r="K27" s="11" t="s">
        <v>172</v>
      </c>
      <c r="L27">
        <v>4.67</v>
      </c>
      <c r="M27">
        <v>-6.7</v>
      </c>
      <c r="N27">
        <v>70.099999999999994</v>
      </c>
      <c r="O27">
        <v>23.4</v>
      </c>
      <c r="P27">
        <v>12.1</v>
      </c>
      <c r="Q27">
        <v>0.91</v>
      </c>
      <c r="R27">
        <v>77.849999999999994</v>
      </c>
      <c r="S27">
        <v>2487.5</v>
      </c>
      <c r="T27" s="10">
        <v>3.78</v>
      </c>
      <c r="U27" t="s">
        <v>173</v>
      </c>
      <c r="V27">
        <v>7.3</v>
      </c>
      <c r="W27" t="s">
        <v>95</v>
      </c>
      <c r="X27">
        <v>87.9</v>
      </c>
      <c r="Y27" s="10">
        <v>6.7</v>
      </c>
      <c r="Z27" s="10">
        <v>5.9</v>
      </c>
    </row>
    <row r="28" spans="1:26">
      <c r="A28" s="11" t="s">
        <v>174</v>
      </c>
      <c r="B28" s="8">
        <v>45519</v>
      </c>
      <c r="C28" s="11" t="s">
        <v>175</v>
      </c>
      <c r="D28">
        <v>6789.1</v>
      </c>
      <c r="E28">
        <v>0.89</v>
      </c>
      <c r="F28">
        <v>0.3</v>
      </c>
      <c r="G28">
        <v>5.8</v>
      </c>
      <c r="H28">
        <v>3.7</v>
      </c>
      <c r="I28">
        <v>6.5</v>
      </c>
      <c r="J28">
        <v>5.9</v>
      </c>
      <c r="K28" s="11" t="s">
        <v>176</v>
      </c>
      <c r="L28">
        <v>56.3</v>
      </c>
      <c r="M28">
        <v>-8.9</v>
      </c>
      <c r="N28">
        <v>63.5</v>
      </c>
      <c r="O28">
        <v>-8.9</v>
      </c>
      <c r="P28">
        <v>9.8000000000000007</v>
      </c>
      <c r="Q28">
        <v>0.88</v>
      </c>
      <c r="R28">
        <v>77.849999999999994</v>
      </c>
      <c r="S28">
        <v>2487.5</v>
      </c>
      <c r="T28" s="10">
        <v>6.45</v>
      </c>
      <c r="U28" t="s">
        <v>169</v>
      </c>
      <c r="V28">
        <v>6.8</v>
      </c>
      <c r="W28" t="s">
        <v>95</v>
      </c>
      <c r="X28">
        <v>78.900000000000006</v>
      </c>
      <c r="Y28" s="10">
        <v>8.1</v>
      </c>
      <c r="Z28" s="10">
        <v>7.4</v>
      </c>
    </row>
    <row r="29" spans="1:26">
      <c r="A29" s="11" t="s">
        <v>177</v>
      </c>
      <c r="B29" s="8">
        <v>45519</v>
      </c>
      <c r="C29" s="11" t="s">
        <v>178</v>
      </c>
      <c r="D29">
        <v>1234.5</v>
      </c>
      <c r="E29">
        <v>1.23</v>
      </c>
      <c r="F29">
        <v>0.3</v>
      </c>
      <c r="G29">
        <v>6.4</v>
      </c>
      <c r="H29">
        <v>4.0999999999999996</v>
      </c>
      <c r="I29">
        <v>4.5</v>
      </c>
      <c r="J29">
        <v>12.3</v>
      </c>
      <c r="K29" s="11" t="s">
        <v>179</v>
      </c>
      <c r="L29">
        <v>24789</v>
      </c>
      <c r="M29">
        <v>-3.4</v>
      </c>
      <c r="N29">
        <v>43.1</v>
      </c>
      <c r="O29">
        <v>12.8</v>
      </c>
      <c r="P29">
        <v>15.6</v>
      </c>
      <c r="Q29">
        <v>0.85</v>
      </c>
      <c r="R29">
        <v>77.849999999999994</v>
      </c>
      <c r="S29">
        <v>2487.5</v>
      </c>
      <c r="T29" s="10">
        <v>2.89</v>
      </c>
      <c r="U29" t="s">
        <v>129</v>
      </c>
      <c r="V29">
        <v>6.2</v>
      </c>
      <c r="W29" t="s">
        <v>95</v>
      </c>
      <c r="X29">
        <v>123.4</v>
      </c>
      <c r="Y29" s="10">
        <v>12.8</v>
      </c>
      <c r="Z29" s="10">
        <v>14.2</v>
      </c>
    </row>
    <row r="30" spans="1:26">
      <c r="A30" s="11" t="s">
        <v>180</v>
      </c>
      <c r="B30" s="8">
        <v>45519</v>
      </c>
      <c r="C30" s="11" t="s">
        <v>181</v>
      </c>
      <c r="D30">
        <v>10567.8</v>
      </c>
      <c r="E30">
        <v>2.34</v>
      </c>
      <c r="F30">
        <v>0.3</v>
      </c>
      <c r="G30">
        <v>3.1</v>
      </c>
      <c r="H30">
        <v>64.8</v>
      </c>
      <c r="I30">
        <v>50</v>
      </c>
      <c r="J30">
        <v>10.5</v>
      </c>
      <c r="K30" s="11" t="s">
        <v>182</v>
      </c>
      <c r="L30">
        <v>33.700000000000003</v>
      </c>
      <c r="M30">
        <v>-35.6</v>
      </c>
      <c r="N30">
        <v>32.1</v>
      </c>
      <c r="O30">
        <v>-45.6</v>
      </c>
      <c r="P30">
        <v>12.8</v>
      </c>
      <c r="Q30">
        <v>0.76</v>
      </c>
      <c r="R30">
        <v>77.849999999999994</v>
      </c>
      <c r="S30">
        <v>2487.5</v>
      </c>
      <c r="T30" s="10">
        <v>28.45</v>
      </c>
      <c r="U30" t="s">
        <v>183</v>
      </c>
      <c r="V30">
        <v>4.8</v>
      </c>
      <c r="W30" t="s">
        <v>119</v>
      </c>
      <c r="X30">
        <v>67.8</v>
      </c>
      <c r="Y30" s="10">
        <v>3.4</v>
      </c>
      <c r="Z30" s="10">
        <v>8.9</v>
      </c>
    </row>
    <row r="31" spans="1:26">
      <c r="A31" s="11" t="s">
        <v>184</v>
      </c>
      <c r="B31" s="8">
        <v>45519</v>
      </c>
      <c r="C31" s="11" t="s">
        <v>185</v>
      </c>
      <c r="D31">
        <v>75234.600000000006</v>
      </c>
      <c r="E31">
        <v>0.78</v>
      </c>
      <c r="F31">
        <v>0.4</v>
      </c>
      <c r="G31">
        <v>0.9</v>
      </c>
      <c r="H31">
        <v>4.7</v>
      </c>
      <c r="I31">
        <v>8.25</v>
      </c>
      <c r="J31">
        <v>28.7</v>
      </c>
      <c r="K31" s="11" t="s">
        <v>186</v>
      </c>
      <c r="L31">
        <v>18.2</v>
      </c>
      <c r="M31">
        <v>-7.8</v>
      </c>
      <c r="N31">
        <v>71.099999999999994</v>
      </c>
      <c r="O31">
        <v>8.9</v>
      </c>
      <c r="P31">
        <v>4.5</v>
      </c>
      <c r="Q31">
        <v>0.82</v>
      </c>
      <c r="R31">
        <v>77.849999999999994</v>
      </c>
      <c r="S31">
        <v>2487.5</v>
      </c>
      <c r="T31" s="10">
        <v>11.78</v>
      </c>
      <c r="U31" t="s">
        <v>118</v>
      </c>
      <c r="V31">
        <v>5.9</v>
      </c>
      <c r="W31" t="s">
        <v>119</v>
      </c>
      <c r="X31">
        <v>89.3</v>
      </c>
      <c r="Y31" s="10">
        <v>2.1</v>
      </c>
      <c r="Z31" s="10">
        <v>1.8</v>
      </c>
    </row>
    <row r="32" spans="1:26">
      <c r="A32" s="11" t="s">
        <v>187</v>
      </c>
      <c r="B32" s="8">
        <v>45519</v>
      </c>
      <c r="C32" s="11" t="s">
        <v>188</v>
      </c>
      <c r="D32">
        <v>25678.9</v>
      </c>
      <c r="E32">
        <v>1.45</v>
      </c>
      <c r="F32">
        <v>0.03</v>
      </c>
      <c r="G32">
        <v>2.8</v>
      </c>
      <c r="H32">
        <v>33.1</v>
      </c>
      <c r="I32">
        <v>27.25</v>
      </c>
      <c r="J32">
        <v>7.2</v>
      </c>
      <c r="K32" s="11" t="s">
        <v>189</v>
      </c>
      <c r="L32">
        <v>30.9</v>
      </c>
      <c r="M32">
        <v>-49.7</v>
      </c>
      <c r="N32">
        <v>89.7</v>
      </c>
      <c r="O32">
        <v>-18.899999999999999</v>
      </c>
      <c r="P32">
        <v>8.9</v>
      </c>
      <c r="Q32">
        <v>0.71</v>
      </c>
      <c r="R32">
        <v>77.849999999999994</v>
      </c>
      <c r="S32">
        <v>2487.5</v>
      </c>
      <c r="T32" s="10">
        <v>19.45</v>
      </c>
      <c r="U32" t="s">
        <v>183</v>
      </c>
      <c r="V32">
        <v>4.2</v>
      </c>
      <c r="W32" t="s">
        <v>119</v>
      </c>
      <c r="X32">
        <v>56.7</v>
      </c>
      <c r="Y32" s="10">
        <v>12.3</v>
      </c>
      <c r="Z32" s="10">
        <v>23.4</v>
      </c>
    </row>
    <row r="33" spans="1:26">
      <c r="A33" s="11" t="s">
        <v>190</v>
      </c>
      <c r="B33" s="8">
        <v>45519</v>
      </c>
      <c r="C33" s="11" t="s">
        <v>191</v>
      </c>
      <c r="D33">
        <v>98765.4</v>
      </c>
      <c r="E33">
        <v>2.1</v>
      </c>
      <c r="F33">
        <v>0.04</v>
      </c>
      <c r="G33">
        <v>3.2</v>
      </c>
      <c r="H33">
        <v>21.8</v>
      </c>
      <c r="I33">
        <v>18.75</v>
      </c>
      <c r="J33">
        <v>5.0999999999999996</v>
      </c>
      <c r="K33" s="11" t="s">
        <v>192</v>
      </c>
      <c r="L33">
        <v>1567</v>
      </c>
      <c r="M33">
        <v>-68.900000000000006</v>
      </c>
      <c r="N33">
        <v>37.1</v>
      </c>
      <c r="O33">
        <v>34.5</v>
      </c>
      <c r="P33">
        <v>2.2999999999999998</v>
      </c>
      <c r="Q33">
        <v>0.68</v>
      </c>
      <c r="R33">
        <v>77.849999999999994</v>
      </c>
      <c r="S33">
        <v>2487.5</v>
      </c>
      <c r="T33" s="10">
        <v>14.67</v>
      </c>
      <c r="U33" t="s">
        <v>193</v>
      </c>
      <c r="V33">
        <v>3.8</v>
      </c>
      <c r="W33" t="s">
        <v>119</v>
      </c>
      <c r="X33">
        <v>78.900000000000006</v>
      </c>
      <c r="Y33" s="10">
        <v>23.4</v>
      </c>
      <c r="Z33" s="10">
        <v>34.5</v>
      </c>
    </row>
    <row r="34" spans="1:26">
      <c r="A34" s="11" t="s">
        <v>194</v>
      </c>
      <c r="B34" s="8">
        <v>45519</v>
      </c>
      <c r="C34" s="11" t="s">
        <v>195</v>
      </c>
      <c r="D34">
        <v>5678.9</v>
      </c>
      <c r="E34">
        <v>0.67</v>
      </c>
      <c r="F34">
        <v>0.2</v>
      </c>
      <c r="G34">
        <v>2.4</v>
      </c>
      <c r="H34">
        <v>4.0999999999999996</v>
      </c>
      <c r="I34">
        <v>5.75</v>
      </c>
      <c r="J34">
        <v>8.8000000000000007</v>
      </c>
      <c r="K34" s="11" t="s">
        <v>196</v>
      </c>
      <c r="L34">
        <v>967</v>
      </c>
      <c r="M34">
        <v>-8.9</v>
      </c>
      <c r="N34">
        <v>37.799999999999997</v>
      </c>
      <c r="O34">
        <v>23.4</v>
      </c>
      <c r="P34">
        <v>18.899999999999999</v>
      </c>
      <c r="Q34">
        <v>0.93</v>
      </c>
      <c r="R34">
        <v>77.849999999999994</v>
      </c>
      <c r="S34">
        <v>2487.5</v>
      </c>
      <c r="T34" s="10">
        <v>5.89</v>
      </c>
      <c r="U34" t="s">
        <v>138</v>
      </c>
      <c r="V34">
        <v>7.8</v>
      </c>
      <c r="W34" t="s">
        <v>95</v>
      </c>
      <c r="X34">
        <v>95.6</v>
      </c>
      <c r="Y34" s="10">
        <v>6.7</v>
      </c>
      <c r="Z34" s="10">
        <v>5.2</v>
      </c>
    </row>
    <row r="35" spans="1:26">
      <c r="A35" s="11" t="s">
        <v>197</v>
      </c>
      <c r="B35" s="8">
        <v>45519</v>
      </c>
      <c r="C35" s="11" t="s">
        <v>198</v>
      </c>
      <c r="D35">
        <v>1567890.2</v>
      </c>
      <c r="E35">
        <v>3.45</v>
      </c>
      <c r="F35">
        <v>0.05</v>
      </c>
      <c r="G35">
        <v>-1.6</v>
      </c>
      <c r="H35">
        <v>211.4</v>
      </c>
      <c r="I35">
        <v>133</v>
      </c>
      <c r="J35">
        <v>6.2</v>
      </c>
      <c r="K35" s="11" t="s">
        <v>199</v>
      </c>
      <c r="L35">
        <v>945</v>
      </c>
      <c r="M35">
        <v>-89.7</v>
      </c>
      <c r="N35">
        <v>78.900000000000006</v>
      </c>
      <c r="O35">
        <v>-23.4</v>
      </c>
      <c r="P35">
        <v>4.5</v>
      </c>
      <c r="Q35">
        <v>0.45</v>
      </c>
      <c r="R35">
        <v>77.849999999999994</v>
      </c>
      <c r="S35">
        <v>2487.5</v>
      </c>
      <c r="T35" s="10">
        <v>89.45</v>
      </c>
      <c r="U35" t="s">
        <v>200</v>
      </c>
      <c r="V35">
        <v>2.1</v>
      </c>
      <c r="W35" t="s">
        <v>119</v>
      </c>
      <c r="X35">
        <v>34.5</v>
      </c>
      <c r="Y35" s="10">
        <v>-12.3</v>
      </c>
      <c r="Z35" s="10">
        <v>15.6</v>
      </c>
    </row>
    <row r="36" spans="1:26">
      <c r="A36" s="11" t="s">
        <v>201</v>
      </c>
      <c r="B36" s="8">
        <v>45519</v>
      </c>
      <c r="C36" s="11" t="s">
        <v>202</v>
      </c>
      <c r="D36">
        <v>1234.5</v>
      </c>
      <c r="E36">
        <v>0.89</v>
      </c>
      <c r="F36">
        <v>0.1</v>
      </c>
      <c r="G36">
        <v>1.2</v>
      </c>
      <c r="H36">
        <v>7.2</v>
      </c>
      <c r="I36">
        <v>10.75</v>
      </c>
      <c r="J36">
        <v>10.199999999999999</v>
      </c>
      <c r="K36" s="11" t="s">
        <v>203</v>
      </c>
      <c r="L36">
        <v>4134</v>
      </c>
      <c r="M36">
        <v>-18.899999999999999</v>
      </c>
      <c r="N36">
        <v>56.7</v>
      </c>
      <c r="O36">
        <v>-12.1</v>
      </c>
      <c r="P36">
        <v>12.8</v>
      </c>
      <c r="Q36">
        <v>0.78</v>
      </c>
      <c r="R36">
        <v>77.849999999999994</v>
      </c>
      <c r="S36">
        <v>2487.5</v>
      </c>
      <c r="T36" s="10">
        <v>12.34</v>
      </c>
      <c r="U36" t="s">
        <v>129</v>
      </c>
      <c r="V36">
        <v>5.8</v>
      </c>
      <c r="W36" t="s">
        <v>95</v>
      </c>
      <c r="X36">
        <v>87.3</v>
      </c>
      <c r="Y36" s="10">
        <v>8.9</v>
      </c>
      <c r="Z36" s="10">
        <v>7.1</v>
      </c>
    </row>
    <row r="37" spans="1:26">
      <c r="A37" s="11" t="s">
        <v>204</v>
      </c>
      <c r="B37" s="8">
        <v>45519</v>
      </c>
      <c r="C37" s="11" t="s">
        <v>205</v>
      </c>
      <c r="D37">
        <v>23456.7</v>
      </c>
      <c r="E37">
        <v>1.1200000000000001</v>
      </c>
      <c r="F37">
        <v>0.08</v>
      </c>
      <c r="G37">
        <v>2.8</v>
      </c>
      <c r="H37">
        <v>2.8</v>
      </c>
      <c r="I37">
        <v>5.75</v>
      </c>
      <c r="J37">
        <v>6.4</v>
      </c>
      <c r="K37" s="11" t="s">
        <v>206</v>
      </c>
      <c r="L37">
        <v>3.78</v>
      </c>
      <c r="M37">
        <v>-6.7</v>
      </c>
      <c r="N37">
        <v>34.200000000000003</v>
      </c>
      <c r="O37">
        <v>8.9</v>
      </c>
      <c r="P37">
        <v>6.7</v>
      </c>
      <c r="Q37">
        <v>0.91</v>
      </c>
      <c r="R37">
        <v>77.849999999999994</v>
      </c>
      <c r="S37">
        <v>2487.5</v>
      </c>
      <c r="T37" s="10">
        <v>6.78</v>
      </c>
      <c r="U37" t="s">
        <v>169</v>
      </c>
      <c r="V37">
        <v>6.7</v>
      </c>
      <c r="W37" t="s">
        <v>95</v>
      </c>
      <c r="X37">
        <v>98.7</v>
      </c>
      <c r="Y37" s="10">
        <v>9.8000000000000007</v>
      </c>
      <c r="Z37" s="10">
        <v>8.1999999999999993</v>
      </c>
    </row>
    <row r="38" spans="1:26">
      <c r="A38" s="11" t="s">
        <v>207</v>
      </c>
      <c r="B38" s="8">
        <v>45519</v>
      </c>
      <c r="C38" s="11" t="s">
        <v>208</v>
      </c>
      <c r="D38">
        <v>9876.5</v>
      </c>
      <c r="E38">
        <v>0.34</v>
      </c>
      <c r="F38">
        <v>0.7</v>
      </c>
      <c r="G38">
        <v>3.9</v>
      </c>
      <c r="H38">
        <v>1.9</v>
      </c>
      <c r="I38">
        <v>5.4</v>
      </c>
      <c r="J38">
        <v>2.8</v>
      </c>
      <c r="K38" s="11" t="s">
        <v>209</v>
      </c>
      <c r="L38">
        <v>3.67</v>
      </c>
      <c r="M38">
        <v>0</v>
      </c>
      <c r="N38">
        <v>34.5</v>
      </c>
      <c r="O38">
        <v>67.8</v>
      </c>
      <c r="P38">
        <v>23.4</v>
      </c>
      <c r="Q38">
        <v>1.06</v>
      </c>
      <c r="R38">
        <v>77.849999999999994</v>
      </c>
      <c r="S38">
        <v>2487.5</v>
      </c>
      <c r="T38" s="10">
        <v>4.12</v>
      </c>
      <c r="U38" t="s">
        <v>105</v>
      </c>
      <c r="V38">
        <v>8.1999999999999993</v>
      </c>
      <c r="W38" t="s">
        <v>90</v>
      </c>
      <c r="X38">
        <v>134.5</v>
      </c>
      <c r="Y38" s="10">
        <v>23.4</v>
      </c>
      <c r="Z38" s="10">
        <v>18.899999999999999</v>
      </c>
    </row>
    <row r="39" spans="1:26">
      <c r="A39" s="11" t="s">
        <v>210</v>
      </c>
      <c r="B39" s="8">
        <v>45519</v>
      </c>
      <c r="C39" s="11" t="s">
        <v>211</v>
      </c>
      <c r="D39">
        <v>12345.6</v>
      </c>
      <c r="E39">
        <v>0.56000000000000005</v>
      </c>
      <c r="F39">
        <v>2.8</v>
      </c>
      <c r="G39">
        <v>1.1000000000000001</v>
      </c>
      <c r="H39">
        <v>-0.4</v>
      </c>
      <c r="I39">
        <v>6</v>
      </c>
      <c r="J39">
        <v>5.8</v>
      </c>
      <c r="K39" s="11" t="s">
        <v>212</v>
      </c>
      <c r="L39">
        <v>3.75</v>
      </c>
      <c r="M39">
        <v>0</v>
      </c>
      <c r="N39">
        <v>26.7</v>
      </c>
      <c r="O39">
        <v>34.5</v>
      </c>
      <c r="P39">
        <v>8.9</v>
      </c>
      <c r="Q39">
        <v>1.18</v>
      </c>
      <c r="R39">
        <v>77.849999999999994</v>
      </c>
      <c r="S39">
        <v>2487.5</v>
      </c>
      <c r="T39" s="10">
        <v>4.2300000000000004</v>
      </c>
      <c r="U39" t="s">
        <v>173</v>
      </c>
      <c r="V39">
        <v>6.9</v>
      </c>
      <c r="W39" t="s">
        <v>95</v>
      </c>
      <c r="X39">
        <v>98.7</v>
      </c>
      <c r="Y39" s="10">
        <v>12.3</v>
      </c>
      <c r="Z39" s="10">
        <v>8.9</v>
      </c>
    </row>
    <row r="40" spans="1:26">
      <c r="A40" s="11" t="s">
        <v>213</v>
      </c>
      <c r="B40" s="8">
        <v>45519</v>
      </c>
      <c r="C40" s="11" t="s">
        <v>214</v>
      </c>
      <c r="D40">
        <v>1987.3</v>
      </c>
      <c r="E40">
        <v>-0.78</v>
      </c>
      <c r="F40">
        <v>0.4</v>
      </c>
      <c r="G40">
        <v>2</v>
      </c>
      <c r="H40">
        <v>2.2999999999999998</v>
      </c>
      <c r="I40">
        <v>4.75</v>
      </c>
      <c r="J40">
        <v>3.4</v>
      </c>
      <c r="K40" s="11" t="s">
        <v>215</v>
      </c>
      <c r="L40">
        <v>3.68</v>
      </c>
      <c r="M40">
        <v>-2.1</v>
      </c>
      <c r="N40">
        <v>60.9</v>
      </c>
      <c r="O40">
        <v>23.4</v>
      </c>
      <c r="P40">
        <v>18.899999999999999</v>
      </c>
      <c r="Q40">
        <v>1.03</v>
      </c>
      <c r="R40">
        <v>77.849999999999994</v>
      </c>
      <c r="S40">
        <v>2487.5</v>
      </c>
      <c r="T40" s="10">
        <v>4.5599999999999996</v>
      </c>
      <c r="U40" t="s">
        <v>94</v>
      </c>
      <c r="V40">
        <v>6.8</v>
      </c>
      <c r="W40" t="s">
        <v>95</v>
      </c>
      <c r="X40">
        <v>89.7</v>
      </c>
      <c r="Y40" s="10">
        <v>5.6</v>
      </c>
      <c r="Z40" s="10">
        <v>4.2</v>
      </c>
    </row>
  </sheetData>
  <conditionalFormatting sqref="H34">
    <cfRule type="cellIs" dxfId="2" priority="1" operator="greaterThan">
      <formula>"blanks"</formula>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E715A8-8F34-9345-B1B9-3C7F8CB59E7A}">
  <dimension ref="A1:GM65"/>
  <sheetViews>
    <sheetView topLeftCell="DP1" zoomScale="25" zoomScaleNormal="88" workbookViewId="0">
      <selection activeCell="GK42" sqref="GK30:GK47"/>
    </sheetView>
  </sheetViews>
  <sheetFormatPr baseColWidth="10" defaultRowHeight="16"/>
  <cols>
    <col min="1" max="1" width="14.33203125" bestFit="1" customWidth="1"/>
    <col min="2" max="2" width="26.33203125" bestFit="1" customWidth="1"/>
    <col min="14" max="14" width="14.33203125" bestFit="1" customWidth="1"/>
    <col min="15" max="15" width="30" bestFit="1" customWidth="1"/>
    <col min="23" max="23" width="14.33203125" bestFit="1" customWidth="1"/>
    <col min="24" max="25" width="28" bestFit="1" customWidth="1"/>
    <col min="30" max="30" width="17.1640625" bestFit="1" customWidth="1"/>
    <col min="31" max="31" width="33.1640625" bestFit="1" customWidth="1"/>
    <col min="32" max="32" width="28.6640625" bestFit="1" customWidth="1"/>
    <col min="33" max="33" width="17.1640625" bestFit="1" customWidth="1"/>
    <col min="34" max="37" width="5.5" bestFit="1" customWidth="1"/>
    <col min="38" max="38" width="6.33203125" bestFit="1" customWidth="1"/>
    <col min="39" max="47" width="5.5" bestFit="1" customWidth="1"/>
    <col min="48" max="48" width="6.6640625" bestFit="1" customWidth="1"/>
    <col min="49" max="49" width="5.5" bestFit="1" customWidth="1"/>
    <col min="50" max="51" width="6.6640625" bestFit="1" customWidth="1"/>
    <col min="52" max="59" width="5.5" bestFit="1" customWidth="1"/>
    <col min="60" max="60" width="11.5" bestFit="1" customWidth="1"/>
    <col min="61" max="61" width="5.5" bestFit="1" customWidth="1"/>
    <col min="62" max="62" width="9.1640625" bestFit="1" customWidth="1"/>
    <col min="63" max="63" width="6.5" bestFit="1" customWidth="1"/>
    <col min="64" max="66" width="5.5" bestFit="1" customWidth="1"/>
    <col min="67" max="67" width="9.1640625" bestFit="1" customWidth="1"/>
    <col min="68" max="68" width="6.5" bestFit="1" customWidth="1"/>
    <col min="69" max="69" width="15.5" bestFit="1" customWidth="1"/>
    <col min="70" max="70" width="35.1640625" bestFit="1" customWidth="1"/>
    <col min="71" max="71" width="28.1640625" bestFit="1" customWidth="1"/>
    <col min="72" max="72" width="6.5" bestFit="1" customWidth="1"/>
    <col min="73" max="73" width="9.1640625" bestFit="1" customWidth="1"/>
    <col min="74" max="74" width="6.5" bestFit="1" customWidth="1"/>
    <col min="75" max="75" width="9.1640625" bestFit="1" customWidth="1"/>
    <col min="76" max="76" width="6.5" bestFit="1" customWidth="1"/>
    <col min="77" max="77" width="9.1640625" bestFit="1" customWidth="1"/>
    <col min="78" max="78" width="6.5" bestFit="1" customWidth="1"/>
    <col min="79" max="79" width="5.5" bestFit="1" customWidth="1"/>
    <col min="80" max="80" width="9.1640625" bestFit="1" customWidth="1"/>
    <col min="81" max="81" width="6.5" bestFit="1" customWidth="1"/>
    <col min="82" max="82" width="9.1640625" bestFit="1" customWidth="1"/>
    <col min="83" max="83" width="6.5" bestFit="1" customWidth="1"/>
    <col min="84" max="84" width="5.5" bestFit="1" customWidth="1"/>
    <col min="85" max="85" width="9.1640625" bestFit="1" customWidth="1"/>
    <col min="86" max="86" width="6.5" bestFit="1" customWidth="1"/>
    <col min="87" max="87" width="9.1640625" bestFit="1" customWidth="1"/>
    <col min="88" max="88" width="6.5" bestFit="1" customWidth="1"/>
    <col min="89" max="89" width="9.1640625" bestFit="1" customWidth="1"/>
    <col min="90" max="90" width="6.5" bestFit="1" customWidth="1"/>
    <col min="91" max="91" width="9.1640625" bestFit="1" customWidth="1"/>
    <col min="92" max="92" width="7.6640625" bestFit="1" customWidth="1"/>
    <col min="93" max="93" width="10.33203125" bestFit="1" customWidth="1"/>
    <col min="94" max="94" width="7.6640625" bestFit="1" customWidth="1"/>
    <col min="95" max="95" width="10.33203125" bestFit="1" customWidth="1"/>
    <col min="96" max="96" width="7.6640625" bestFit="1" customWidth="1"/>
    <col min="97" max="97" width="10.33203125" bestFit="1" customWidth="1"/>
    <col min="98" max="98" width="15.1640625" bestFit="1" customWidth="1"/>
    <col min="99" max="100" width="36.1640625" bestFit="1" customWidth="1"/>
    <col min="101" max="101" width="15.33203125" bestFit="1" customWidth="1"/>
    <col min="102" max="103" width="8.6640625" bestFit="1" customWidth="1"/>
    <col min="104" max="104" width="11.33203125" bestFit="1" customWidth="1"/>
    <col min="105" max="105" width="13.6640625" bestFit="1" customWidth="1"/>
    <col min="106" max="106" width="9.33203125" bestFit="1" customWidth="1"/>
    <col min="107" max="107" width="15.1640625" bestFit="1" customWidth="1"/>
    <col min="108" max="108" width="28.1640625" bestFit="1" customWidth="1"/>
    <col min="109" max="110" width="28.5" bestFit="1" customWidth="1"/>
    <col min="111" max="111" width="13.33203125" bestFit="1" customWidth="1"/>
    <col min="112" max="112" width="8.6640625" bestFit="1" customWidth="1"/>
    <col min="113" max="113" width="16" bestFit="1" customWidth="1"/>
    <col min="114" max="114" width="13.5" bestFit="1" customWidth="1"/>
    <col min="115" max="115" width="8.6640625" bestFit="1" customWidth="1"/>
    <col min="116" max="116" width="16.1640625" bestFit="1" customWidth="1"/>
    <col min="117" max="117" width="7.83203125" bestFit="1" customWidth="1"/>
    <col min="118" max="118" width="8.6640625" bestFit="1" customWidth="1"/>
    <col min="119" max="119" width="10.33203125" bestFit="1" customWidth="1"/>
    <col min="120" max="120" width="10.1640625" bestFit="1" customWidth="1"/>
    <col min="121" max="121" width="8.6640625" bestFit="1" customWidth="1"/>
    <col min="122" max="122" width="12.83203125" bestFit="1" customWidth="1"/>
    <col min="123" max="123" width="13.1640625" bestFit="1" customWidth="1"/>
    <col min="124" max="124" width="8.6640625" bestFit="1" customWidth="1"/>
    <col min="125" max="125" width="15.6640625" bestFit="1" customWidth="1"/>
    <col min="126" max="126" width="9.33203125" bestFit="1" customWidth="1"/>
    <col min="127" max="127" width="8.6640625" bestFit="1" customWidth="1"/>
    <col min="128" max="128" width="40.1640625" bestFit="1" customWidth="1"/>
    <col min="129" max="129" width="19.1640625" bestFit="1" customWidth="1"/>
    <col min="130" max="130" width="8.5" bestFit="1" customWidth="1"/>
    <col min="131" max="131" width="7" bestFit="1" customWidth="1"/>
    <col min="132" max="132" width="7.33203125" bestFit="1" customWidth="1"/>
    <col min="133" max="133" width="6.1640625" bestFit="1" customWidth="1"/>
    <col min="134" max="134" width="7.33203125" bestFit="1" customWidth="1"/>
    <col min="135" max="135" width="9.33203125" bestFit="1" customWidth="1"/>
    <col min="136" max="136" width="8.83203125" bestFit="1" customWidth="1"/>
    <col min="137" max="138" width="7" bestFit="1" customWidth="1"/>
    <col min="139" max="139" width="8.83203125" bestFit="1" customWidth="1"/>
    <col min="140" max="140" width="10.33203125" bestFit="1" customWidth="1"/>
    <col min="141" max="141" width="7" bestFit="1" customWidth="1"/>
    <col min="142" max="142" width="9.6640625" bestFit="1" customWidth="1"/>
    <col min="143" max="143" width="6.1640625" bestFit="1" customWidth="1"/>
    <col min="144" max="144" width="7" bestFit="1" customWidth="1"/>
    <col min="145" max="145" width="6.1640625" bestFit="1" customWidth="1"/>
    <col min="146" max="146" width="8.6640625" bestFit="1" customWidth="1"/>
    <col min="147" max="147" width="7.33203125" bestFit="1" customWidth="1"/>
    <col min="148" max="148" width="11.83203125" bestFit="1" customWidth="1"/>
    <col min="149" max="149" width="7.1640625" bestFit="1" customWidth="1"/>
    <col min="150" max="150" width="7.6640625" bestFit="1" customWidth="1"/>
    <col min="151" max="151" width="5.83203125" bestFit="1" customWidth="1"/>
    <col min="152" max="152" width="10.83203125" bestFit="1" customWidth="1"/>
    <col min="153" max="153" width="6.6640625" bestFit="1" customWidth="1"/>
    <col min="154" max="154" width="11.5" bestFit="1" customWidth="1"/>
    <col min="155" max="155" width="16.5" bestFit="1" customWidth="1"/>
    <col min="156" max="156" width="25.83203125" bestFit="1" customWidth="1"/>
    <col min="157" max="157" width="27.6640625" bestFit="1" customWidth="1"/>
    <col min="158" max="158" width="6.1640625" bestFit="1" customWidth="1"/>
    <col min="159" max="159" width="8.5" bestFit="1" customWidth="1"/>
    <col min="160" max="160" width="11.1640625" bestFit="1" customWidth="1"/>
    <col min="161" max="161" width="7.1640625" bestFit="1" customWidth="1"/>
    <col min="162" max="162" width="8.1640625" bestFit="1" customWidth="1"/>
    <col min="163" max="165" width="16.5" bestFit="1" customWidth="1"/>
    <col min="166" max="166" width="12.6640625" bestFit="1" customWidth="1"/>
    <col min="167" max="167" width="8.5" bestFit="1" customWidth="1"/>
    <col min="186" max="186" width="14.83203125" bestFit="1" customWidth="1"/>
    <col min="187" max="188" width="24.33203125" bestFit="1" customWidth="1"/>
    <col min="193" max="193" width="22.83203125" bestFit="1" customWidth="1"/>
    <col min="194" max="194" width="26.1640625" bestFit="1" customWidth="1"/>
    <col min="195" max="195" width="12.83203125" bestFit="1" customWidth="1"/>
    <col min="196" max="196" width="6.1640625" bestFit="1" customWidth="1"/>
  </cols>
  <sheetData>
    <row r="1" spans="1:24">
      <c r="A1" s="3" t="s">
        <v>61</v>
      </c>
      <c r="B1" t="s">
        <v>223</v>
      </c>
    </row>
    <row r="3" spans="1:24">
      <c r="A3" s="3" t="s">
        <v>57</v>
      </c>
      <c r="B3" t="s">
        <v>222</v>
      </c>
    </row>
    <row r="4" spans="1:24">
      <c r="A4" s="4" t="s">
        <v>197</v>
      </c>
      <c r="B4" s="5">
        <v>3.45</v>
      </c>
    </row>
    <row r="5" spans="1:24">
      <c r="A5" s="4" t="s">
        <v>120</v>
      </c>
      <c r="B5" s="5">
        <v>0.22</v>
      </c>
    </row>
    <row r="6" spans="1:24">
      <c r="A6" s="4" t="s">
        <v>115</v>
      </c>
      <c r="B6" s="5">
        <v>1.67</v>
      </c>
    </row>
    <row r="7" spans="1:24">
      <c r="A7" s="4" t="s">
        <v>112</v>
      </c>
      <c r="B7" s="5">
        <v>0.45</v>
      </c>
      <c r="N7" s="3" t="s">
        <v>57</v>
      </c>
      <c r="O7" t="s">
        <v>224</v>
      </c>
    </row>
    <row r="8" spans="1:24">
      <c r="A8" s="4" t="s">
        <v>194</v>
      </c>
      <c r="B8" s="5">
        <v>0.67</v>
      </c>
      <c r="N8" s="4" t="s">
        <v>197</v>
      </c>
      <c r="O8" s="5">
        <v>0.05</v>
      </c>
    </row>
    <row r="9" spans="1:24">
      <c r="A9" s="4" t="s">
        <v>91</v>
      </c>
      <c r="B9" s="5">
        <v>-0.82</v>
      </c>
      <c r="N9" s="4" t="s">
        <v>120</v>
      </c>
      <c r="O9" s="5">
        <v>1.8</v>
      </c>
    </row>
    <row r="10" spans="1:24">
      <c r="A10" s="4" t="s">
        <v>201</v>
      </c>
      <c r="B10" s="5">
        <v>0.89</v>
      </c>
      <c r="N10" s="4" t="s">
        <v>115</v>
      </c>
      <c r="O10" s="5">
        <v>1.4</v>
      </c>
    </row>
    <row r="11" spans="1:24">
      <c r="A11" s="4" t="s">
        <v>150</v>
      </c>
      <c r="B11" s="5">
        <v>0.23</v>
      </c>
      <c r="N11" s="4" t="s">
        <v>112</v>
      </c>
      <c r="O11" s="5">
        <v>2.8</v>
      </c>
      <c r="W11" s="3" t="s">
        <v>61</v>
      </c>
      <c r="X11" t="s">
        <v>223</v>
      </c>
    </row>
    <row r="12" spans="1:24">
      <c r="A12" s="4" t="s">
        <v>187</v>
      </c>
      <c r="B12" s="5">
        <v>1.45</v>
      </c>
      <c r="N12" s="4" t="s">
        <v>194</v>
      </c>
      <c r="O12" s="5">
        <v>0.2</v>
      </c>
    </row>
    <row r="13" spans="1:24">
      <c r="A13" s="4" t="s">
        <v>106</v>
      </c>
      <c r="B13" s="5">
        <v>0.28000000000000003</v>
      </c>
      <c r="N13" s="4" t="s">
        <v>91</v>
      </c>
      <c r="O13" s="5">
        <v>12.4</v>
      </c>
      <c r="W13" s="3" t="s">
        <v>57</v>
      </c>
      <c r="X13" t="s">
        <v>225</v>
      </c>
    </row>
    <row r="14" spans="1:24">
      <c r="A14" s="4" t="s">
        <v>99</v>
      </c>
      <c r="B14" s="5">
        <v>0.67</v>
      </c>
      <c r="N14" s="4" t="s">
        <v>201</v>
      </c>
      <c r="O14" s="5">
        <v>0.1</v>
      </c>
      <c r="W14" s="4" t="s">
        <v>197</v>
      </c>
      <c r="X14" s="5">
        <v>3.45</v>
      </c>
    </row>
    <row r="15" spans="1:24">
      <c r="A15" s="4" t="s">
        <v>156</v>
      </c>
      <c r="B15" s="5">
        <v>-1.23</v>
      </c>
      <c r="N15" s="4" t="s">
        <v>150</v>
      </c>
      <c r="O15" s="5">
        <v>0.4</v>
      </c>
      <c r="W15" s="4" t="s">
        <v>120</v>
      </c>
      <c r="X15" s="5">
        <v>0.22</v>
      </c>
    </row>
    <row r="16" spans="1:24">
      <c r="A16" s="4" t="s">
        <v>108</v>
      </c>
      <c r="B16" s="5">
        <v>0.89</v>
      </c>
      <c r="N16" s="4" t="s">
        <v>187</v>
      </c>
      <c r="O16" s="5">
        <v>0.03</v>
      </c>
      <c r="W16" s="4" t="s">
        <v>115</v>
      </c>
      <c r="X16" s="5">
        <v>1.67</v>
      </c>
    </row>
    <row r="17" spans="1:195">
      <c r="A17" s="4" t="s">
        <v>163</v>
      </c>
      <c r="B17" s="5">
        <v>0.45</v>
      </c>
      <c r="N17" s="4" t="s">
        <v>106</v>
      </c>
      <c r="O17" s="5">
        <v>3</v>
      </c>
      <c r="W17" s="4" t="s">
        <v>112</v>
      </c>
      <c r="X17" s="5">
        <v>0.45</v>
      </c>
    </row>
    <row r="18" spans="1:195">
      <c r="A18" s="4" t="s">
        <v>213</v>
      </c>
      <c r="B18" s="5">
        <v>-0.78</v>
      </c>
      <c r="N18" s="4" t="s">
        <v>99</v>
      </c>
      <c r="O18" s="5">
        <v>2.9</v>
      </c>
      <c r="W18" s="4" t="s">
        <v>194</v>
      </c>
      <c r="X18" s="5">
        <v>0.67</v>
      </c>
      <c r="DX18" s="3" t="s">
        <v>221</v>
      </c>
      <c r="DY18" s="3" t="s">
        <v>226</v>
      </c>
    </row>
    <row r="19" spans="1:195">
      <c r="A19" s="4" t="s">
        <v>134</v>
      </c>
      <c r="B19" s="5">
        <v>0.34</v>
      </c>
      <c r="N19" s="4" t="s">
        <v>156</v>
      </c>
      <c r="O19" s="5">
        <v>4.2</v>
      </c>
      <c r="W19" s="4" t="s">
        <v>91</v>
      </c>
      <c r="X19" s="5">
        <v>-0.82</v>
      </c>
      <c r="DX19" s="3" t="s">
        <v>57</v>
      </c>
      <c r="DY19" t="s">
        <v>197</v>
      </c>
      <c r="DZ19" t="s">
        <v>120</v>
      </c>
      <c r="EA19" t="s">
        <v>115</v>
      </c>
      <c r="EB19" t="s">
        <v>112</v>
      </c>
      <c r="EC19" t="s">
        <v>194</v>
      </c>
      <c r="ED19" t="s">
        <v>91</v>
      </c>
      <c r="EE19" t="s">
        <v>201</v>
      </c>
      <c r="EF19" t="s">
        <v>150</v>
      </c>
      <c r="EG19" t="s">
        <v>187</v>
      </c>
      <c r="EH19" t="s">
        <v>106</v>
      </c>
      <c r="EI19" t="s">
        <v>99</v>
      </c>
      <c r="EJ19" t="s">
        <v>156</v>
      </c>
      <c r="EK19" t="s">
        <v>108</v>
      </c>
      <c r="EL19" t="s">
        <v>163</v>
      </c>
      <c r="EM19" t="s">
        <v>213</v>
      </c>
      <c r="EN19" t="s">
        <v>134</v>
      </c>
      <c r="EO19" t="s">
        <v>96</v>
      </c>
      <c r="EP19" t="s">
        <v>170</v>
      </c>
      <c r="EQ19" t="s">
        <v>130</v>
      </c>
      <c r="ER19" t="s">
        <v>139</v>
      </c>
      <c r="ES19" t="s">
        <v>190</v>
      </c>
      <c r="ET19" t="s">
        <v>147</v>
      </c>
      <c r="EU19" t="s">
        <v>204</v>
      </c>
      <c r="EV19" t="s">
        <v>174</v>
      </c>
      <c r="EW19" t="s">
        <v>126</v>
      </c>
      <c r="EX19" t="s">
        <v>210</v>
      </c>
      <c r="EY19" t="s">
        <v>153</v>
      </c>
      <c r="EZ19" t="s">
        <v>184</v>
      </c>
      <c r="FA19" t="s">
        <v>123</v>
      </c>
      <c r="FB19" t="s">
        <v>136</v>
      </c>
      <c r="FC19" t="s">
        <v>144</v>
      </c>
      <c r="FD19" t="s">
        <v>141</v>
      </c>
      <c r="FE19" t="s">
        <v>160</v>
      </c>
      <c r="FF19" t="s">
        <v>166</v>
      </c>
      <c r="FG19" t="s">
        <v>180</v>
      </c>
      <c r="FH19" t="s">
        <v>207</v>
      </c>
      <c r="FI19" t="s">
        <v>102</v>
      </c>
      <c r="FJ19" t="s">
        <v>86</v>
      </c>
      <c r="FK19" t="s">
        <v>177</v>
      </c>
      <c r="FL19" t="s">
        <v>58</v>
      </c>
    </row>
    <row r="20" spans="1:195">
      <c r="A20" s="4" t="s">
        <v>96</v>
      </c>
      <c r="B20" s="5">
        <v>1.24</v>
      </c>
      <c r="N20" s="4" t="s">
        <v>108</v>
      </c>
      <c r="O20" s="5">
        <v>4.3</v>
      </c>
      <c r="W20" s="4" t="s">
        <v>201</v>
      </c>
      <c r="X20" s="5">
        <v>0.89</v>
      </c>
      <c r="AD20" s="3" t="s">
        <v>57</v>
      </c>
      <c r="AE20" t="s">
        <v>216</v>
      </c>
      <c r="AF20" t="s">
        <v>217</v>
      </c>
      <c r="DX20" s="12">
        <v>45519</v>
      </c>
      <c r="DY20" s="5">
        <v>-23.4</v>
      </c>
      <c r="DZ20" s="5">
        <v>67.8</v>
      </c>
      <c r="EA20" s="5">
        <v>-46.9</v>
      </c>
      <c r="EB20" s="5">
        <v>12.8</v>
      </c>
      <c r="EC20" s="5">
        <v>23.4</v>
      </c>
      <c r="ED20" s="5">
        <v>382.9</v>
      </c>
      <c r="EE20" s="5">
        <v>-12.1</v>
      </c>
      <c r="EF20" s="5">
        <v>23.4</v>
      </c>
      <c r="EG20" s="5">
        <v>-18.899999999999999</v>
      </c>
      <c r="EH20" s="5">
        <v>-22.1</v>
      </c>
      <c r="EI20" s="5">
        <v>297.39999999999998</v>
      </c>
      <c r="EJ20" s="5">
        <v>34.5</v>
      </c>
      <c r="EK20" s="5">
        <v>-23.1</v>
      </c>
      <c r="EL20" s="5">
        <v>-12.1</v>
      </c>
      <c r="EM20" s="5">
        <v>23.4</v>
      </c>
      <c r="EN20" s="5">
        <v>-56.7</v>
      </c>
      <c r="EO20" s="5">
        <v>49.7</v>
      </c>
      <c r="EP20" s="5">
        <v>23.4</v>
      </c>
      <c r="EQ20" s="5">
        <v>-12.4</v>
      </c>
      <c r="ER20" s="5">
        <v>89.7</v>
      </c>
      <c r="ES20" s="5">
        <v>34.5</v>
      </c>
      <c r="ET20" s="5">
        <v>78.900000000000006</v>
      </c>
      <c r="EU20" s="5">
        <v>8.9</v>
      </c>
      <c r="EV20" s="5">
        <v>-8.9</v>
      </c>
      <c r="EW20" s="5">
        <v>67.8</v>
      </c>
      <c r="EX20" s="5">
        <v>34.5</v>
      </c>
      <c r="EY20" s="5">
        <v>67.8</v>
      </c>
      <c r="EZ20" s="5">
        <v>8.9</v>
      </c>
      <c r="FA20" s="5">
        <v>67.400000000000006</v>
      </c>
      <c r="FB20" s="5">
        <v>23.4</v>
      </c>
      <c r="FC20" s="5">
        <v>34.5</v>
      </c>
      <c r="FD20" s="5">
        <v>67.8</v>
      </c>
      <c r="FE20" s="5">
        <v>89.7</v>
      </c>
      <c r="FF20" s="5">
        <v>12.8</v>
      </c>
      <c r="FG20" s="5">
        <v>-45.6</v>
      </c>
      <c r="FH20" s="5">
        <v>67.8</v>
      </c>
      <c r="FI20" s="5">
        <v>-85.6</v>
      </c>
      <c r="FJ20" s="5">
        <v>-695.2</v>
      </c>
      <c r="FK20" s="5">
        <v>12.8</v>
      </c>
      <c r="FL20" s="5">
        <v>642.90000000000009</v>
      </c>
    </row>
    <row r="21" spans="1:195">
      <c r="A21" s="4" t="s">
        <v>170</v>
      </c>
      <c r="B21" s="5">
        <v>0.67</v>
      </c>
      <c r="N21" s="4" t="s">
        <v>163</v>
      </c>
      <c r="O21" s="5">
        <v>0.7</v>
      </c>
      <c r="W21" s="4" t="s">
        <v>150</v>
      </c>
      <c r="X21" s="5">
        <v>0.23</v>
      </c>
      <c r="AD21" s="4" t="s">
        <v>197</v>
      </c>
      <c r="AE21" s="5">
        <v>-1.6</v>
      </c>
      <c r="AF21" s="5">
        <v>211.4</v>
      </c>
      <c r="DX21" s="12" t="s">
        <v>58</v>
      </c>
      <c r="DY21" s="5">
        <v>-23.4</v>
      </c>
      <c r="DZ21" s="5">
        <v>67.8</v>
      </c>
      <c r="EA21" s="5">
        <v>-46.9</v>
      </c>
      <c r="EB21" s="5">
        <v>12.8</v>
      </c>
      <c r="EC21" s="5">
        <v>23.4</v>
      </c>
      <c r="ED21" s="5">
        <v>382.9</v>
      </c>
      <c r="EE21" s="5">
        <v>-12.1</v>
      </c>
      <c r="EF21" s="5">
        <v>23.4</v>
      </c>
      <c r="EG21" s="5">
        <v>-18.899999999999999</v>
      </c>
      <c r="EH21" s="5">
        <v>-22.1</v>
      </c>
      <c r="EI21" s="5">
        <v>297.39999999999998</v>
      </c>
      <c r="EJ21" s="5">
        <v>34.5</v>
      </c>
      <c r="EK21" s="5">
        <v>-23.1</v>
      </c>
      <c r="EL21" s="5">
        <v>-12.1</v>
      </c>
      <c r="EM21" s="5">
        <v>23.4</v>
      </c>
      <c r="EN21" s="5">
        <v>-56.7</v>
      </c>
      <c r="EO21" s="5">
        <v>49.7</v>
      </c>
      <c r="EP21" s="5">
        <v>23.4</v>
      </c>
      <c r="EQ21" s="5">
        <v>-12.4</v>
      </c>
      <c r="ER21" s="5">
        <v>89.7</v>
      </c>
      <c r="ES21" s="5">
        <v>34.5</v>
      </c>
      <c r="ET21" s="5">
        <v>78.900000000000006</v>
      </c>
      <c r="EU21" s="5">
        <v>8.9</v>
      </c>
      <c r="EV21" s="5">
        <v>-8.9</v>
      </c>
      <c r="EW21" s="5">
        <v>67.8</v>
      </c>
      <c r="EX21" s="5">
        <v>34.5</v>
      </c>
      <c r="EY21" s="5">
        <v>67.8</v>
      </c>
      <c r="EZ21" s="5">
        <v>8.9</v>
      </c>
      <c r="FA21" s="5">
        <v>67.400000000000006</v>
      </c>
      <c r="FB21" s="5">
        <v>23.4</v>
      </c>
      <c r="FC21" s="5">
        <v>34.5</v>
      </c>
      <c r="FD21" s="5">
        <v>67.8</v>
      </c>
      <c r="FE21" s="5">
        <v>89.7</v>
      </c>
      <c r="FF21" s="5">
        <v>12.8</v>
      </c>
      <c r="FG21" s="5">
        <v>-45.6</v>
      </c>
      <c r="FH21" s="5">
        <v>67.8</v>
      </c>
      <c r="FI21" s="5">
        <v>-85.6</v>
      </c>
      <c r="FJ21" s="5">
        <v>-695.2</v>
      </c>
      <c r="FK21" s="5">
        <v>12.8</v>
      </c>
      <c r="FL21" s="5">
        <v>642.90000000000009</v>
      </c>
    </row>
    <row r="22" spans="1:195">
      <c r="A22" s="4" t="s">
        <v>130</v>
      </c>
      <c r="B22" s="5">
        <v>0.91</v>
      </c>
      <c r="N22" s="4" t="s">
        <v>213</v>
      </c>
      <c r="O22" s="5">
        <v>0.4</v>
      </c>
      <c r="W22" s="4" t="s">
        <v>187</v>
      </c>
      <c r="X22" s="5">
        <v>1.45</v>
      </c>
      <c r="AD22" s="4" t="s">
        <v>120</v>
      </c>
      <c r="AE22" s="5">
        <v>1.7</v>
      </c>
      <c r="AF22" s="5">
        <v>3.8</v>
      </c>
    </row>
    <row r="23" spans="1:195">
      <c r="A23" s="4" t="s">
        <v>139</v>
      </c>
      <c r="B23" s="5">
        <v>0.12</v>
      </c>
      <c r="N23" s="4" t="s">
        <v>134</v>
      </c>
      <c r="O23" s="5">
        <v>0.9</v>
      </c>
      <c r="W23" s="4" t="s">
        <v>106</v>
      </c>
      <c r="X23" s="5">
        <v>0.28000000000000003</v>
      </c>
      <c r="AD23" s="4" t="s">
        <v>115</v>
      </c>
      <c r="AE23" s="5">
        <v>2.1</v>
      </c>
      <c r="AF23" s="5">
        <v>4.5</v>
      </c>
      <c r="BQ23" s="3" t="s">
        <v>57</v>
      </c>
      <c r="BR23" t="s">
        <v>218</v>
      </c>
      <c r="BS23" t="s">
        <v>228</v>
      </c>
      <c r="DC23" s="3" t="s">
        <v>57</v>
      </c>
      <c r="DD23" t="s">
        <v>219</v>
      </c>
      <c r="DE23" t="s">
        <v>220</v>
      </c>
    </row>
    <row r="24" spans="1:195">
      <c r="A24" s="4" t="s">
        <v>190</v>
      </c>
      <c r="B24" s="5">
        <v>2.1</v>
      </c>
      <c r="N24" s="4" t="s">
        <v>96</v>
      </c>
      <c r="O24" s="5">
        <v>6.8</v>
      </c>
      <c r="W24" s="4" t="s">
        <v>99</v>
      </c>
      <c r="X24" s="5">
        <v>0.67</v>
      </c>
      <c r="AD24" s="4" t="s">
        <v>112</v>
      </c>
      <c r="AE24" s="5">
        <v>2.9</v>
      </c>
      <c r="AF24" s="5">
        <v>2.8</v>
      </c>
      <c r="BQ24" s="4" t="s">
        <v>197</v>
      </c>
      <c r="BR24" s="5">
        <v>6.2</v>
      </c>
      <c r="BS24" s="5">
        <v>133</v>
      </c>
      <c r="DC24" s="4" t="s">
        <v>197</v>
      </c>
      <c r="DD24" s="5">
        <v>-12.3</v>
      </c>
      <c r="DE24" s="5">
        <v>15.6</v>
      </c>
    </row>
    <row r="25" spans="1:195">
      <c r="A25" s="4" t="s">
        <v>147</v>
      </c>
      <c r="B25" s="5">
        <v>0.67</v>
      </c>
      <c r="N25" s="4" t="s">
        <v>170</v>
      </c>
      <c r="O25" s="5">
        <v>0.5</v>
      </c>
      <c r="W25" s="4" t="s">
        <v>156</v>
      </c>
      <c r="X25" s="5">
        <v>-1.23</v>
      </c>
      <c r="AD25" s="4" t="s">
        <v>194</v>
      </c>
      <c r="AE25" s="5">
        <v>2.4</v>
      </c>
      <c r="AF25" s="5">
        <v>4.0999999999999996</v>
      </c>
      <c r="BQ25" s="4" t="s">
        <v>120</v>
      </c>
      <c r="BR25" s="5">
        <v>4.0999999999999996</v>
      </c>
      <c r="BS25" s="5">
        <v>4.3499999999999996</v>
      </c>
      <c r="CT25" s="3" t="s">
        <v>57</v>
      </c>
      <c r="CU25" t="s">
        <v>229</v>
      </c>
      <c r="DC25" s="4" t="s">
        <v>120</v>
      </c>
      <c r="DD25" s="5">
        <v>6.2</v>
      </c>
      <c r="DE25" s="5">
        <v>5.4</v>
      </c>
    </row>
    <row r="26" spans="1:195">
      <c r="A26" s="4" t="s">
        <v>204</v>
      </c>
      <c r="B26" s="5">
        <v>1.1200000000000001</v>
      </c>
      <c r="N26" s="4" t="s">
        <v>130</v>
      </c>
      <c r="O26" s="5">
        <v>0.7</v>
      </c>
      <c r="W26" s="4" t="s">
        <v>108</v>
      </c>
      <c r="X26" s="5">
        <v>0.89</v>
      </c>
      <c r="AD26" s="4" t="s">
        <v>91</v>
      </c>
      <c r="AE26" s="5">
        <v>5.2</v>
      </c>
      <c r="AF26" s="5">
        <v>0.8</v>
      </c>
      <c r="BQ26" s="4" t="s">
        <v>115</v>
      </c>
      <c r="BR26" s="5">
        <v>7.8</v>
      </c>
      <c r="BS26" s="5">
        <v>10.75</v>
      </c>
      <c r="CT26" s="4" t="s">
        <v>197</v>
      </c>
      <c r="CU26" s="5">
        <v>78.900000000000006</v>
      </c>
      <c r="DC26" s="4" t="s">
        <v>115</v>
      </c>
      <c r="DD26" s="5">
        <v>8.6999999999999993</v>
      </c>
      <c r="DE26" s="5">
        <v>6.9</v>
      </c>
    </row>
    <row r="27" spans="1:195">
      <c r="A27" s="4" t="s">
        <v>174</v>
      </c>
      <c r="B27" s="5">
        <v>0.89</v>
      </c>
      <c r="N27" s="4" t="s">
        <v>139</v>
      </c>
      <c r="O27" s="5">
        <v>1.1000000000000001</v>
      </c>
      <c r="W27" s="4" t="s">
        <v>163</v>
      </c>
      <c r="X27" s="5">
        <v>0.45</v>
      </c>
      <c r="AD27" s="4" t="s">
        <v>201</v>
      </c>
      <c r="AE27" s="5">
        <v>1.2</v>
      </c>
      <c r="AF27" s="5">
        <v>7.2</v>
      </c>
      <c r="BQ27" s="4" t="s">
        <v>112</v>
      </c>
      <c r="BR27" s="5">
        <v>6.1</v>
      </c>
      <c r="BS27" s="5">
        <v>4.75</v>
      </c>
      <c r="CT27" s="4" t="s">
        <v>120</v>
      </c>
      <c r="CU27" s="5">
        <v>45.1</v>
      </c>
      <c r="DC27" s="4" t="s">
        <v>112</v>
      </c>
      <c r="DD27" s="5">
        <v>4.0999999999999996</v>
      </c>
      <c r="DE27" s="5">
        <v>3.8</v>
      </c>
    </row>
    <row r="28" spans="1:195">
      <c r="A28" s="4" t="s">
        <v>126</v>
      </c>
      <c r="B28" s="5">
        <v>0.78</v>
      </c>
      <c r="N28" s="4" t="s">
        <v>190</v>
      </c>
      <c r="O28" s="5">
        <v>0.04</v>
      </c>
      <c r="W28" s="4" t="s">
        <v>213</v>
      </c>
      <c r="X28" s="5">
        <v>-0.78</v>
      </c>
      <c r="AD28" s="4" t="s">
        <v>150</v>
      </c>
      <c r="AE28" s="5">
        <v>1.8</v>
      </c>
      <c r="AF28" s="5">
        <v>1.7</v>
      </c>
      <c r="BQ28" s="4" t="s">
        <v>194</v>
      </c>
      <c r="BR28" s="5">
        <v>8.8000000000000007</v>
      </c>
      <c r="BS28" s="5">
        <v>5.75</v>
      </c>
      <c r="CT28" s="4" t="s">
        <v>115</v>
      </c>
      <c r="CU28" s="5">
        <v>87.7</v>
      </c>
      <c r="DC28" s="4" t="s">
        <v>194</v>
      </c>
      <c r="DD28" s="5">
        <v>6.7</v>
      </c>
      <c r="DE28" s="5">
        <v>5.2</v>
      </c>
      <c r="GK28" s="3" t="s">
        <v>227</v>
      </c>
      <c r="GL28" s="3" t="s">
        <v>226</v>
      </c>
    </row>
    <row r="29" spans="1:195">
      <c r="A29" s="4" t="s">
        <v>210</v>
      </c>
      <c r="B29" s="5">
        <v>0.56000000000000005</v>
      </c>
      <c r="N29" s="4" t="s">
        <v>147</v>
      </c>
      <c r="O29" s="5">
        <v>0.4</v>
      </c>
      <c r="W29" s="4" t="s">
        <v>134</v>
      </c>
      <c r="X29" s="5">
        <v>0.34</v>
      </c>
      <c r="AD29" s="4" t="s">
        <v>187</v>
      </c>
      <c r="AE29" s="5">
        <v>2.8</v>
      </c>
      <c r="AF29" s="5">
        <v>33.1</v>
      </c>
      <c r="BQ29" s="4" t="s">
        <v>91</v>
      </c>
      <c r="BR29" s="5">
        <v>5.2</v>
      </c>
      <c r="BS29" s="5">
        <v>3.1</v>
      </c>
      <c r="CT29" s="4" t="s">
        <v>112</v>
      </c>
      <c r="CU29" s="5">
        <v>106.7</v>
      </c>
      <c r="DC29" s="4" t="s">
        <v>91</v>
      </c>
      <c r="DD29" s="5">
        <v>8.9</v>
      </c>
      <c r="DE29" s="5">
        <v>6.1</v>
      </c>
      <c r="GD29" t="s">
        <v>227</v>
      </c>
      <c r="GE29" t="s">
        <v>232</v>
      </c>
      <c r="GK29" s="3" t="s">
        <v>57</v>
      </c>
      <c r="GL29" t="s">
        <v>90</v>
      </c>
      <c r="GM29" t="s">
        <v>58</v>
      </c>
    </row>
    <row r="30" spans="1:195">
      <c r="A30" s="4" t="s">
        <v>153</v>
      </c>
      <c r="B30" s="5">
        <v>0.56000000000000005</v>
      </c>
      <c r="N30" s="4" t="s">
        <v>204</v>
      </c>
      <c r="O30" s="5">
        <v>0.08</v>
      </c>
      <c r="W30" s="4" t="s">
        <v>96</v>
      </c>
      <c r="X30" s="5">
        <v>1.24</v>
      </c>
      <c r="AD30" s="4" t="s">
        <v>106</v>
      </c>
      <c r="AE30" s="5">
        <v>1.3</v>
      </c>
      <c r="AF30" s="5">
        <v>2.2999999999999998</v>
      </c>
      <c r="BQ30" s="4" t="s">
        <v>201</v>
      </c>
      <c r="BR30" s="5">
        <v>10.199999999999999</v>
      </c>
      <c r="BS30" s="5">
        <v>10.75</v>
      </c>
      <c r="CT30" s="4" t="s">
        <v>194</v>
      </c>
      <c r="CU30" s="5">
        <v>37.799999999999997</v>
      </c>
      <c r="DC30" s="4" t="s">
        <v>201</v>
      </c>
      <c r="DD30" s="5">
        <v>8.9</v>
      </c>
      <c r="DE30" s="5">
        <v>7.1</v>
      </c>
      <c r="GD30" s="5">
        <v>39</v>
      </c>
      <c r="GE30" s="5">
        <v>274.39999999999998</v>
      </c>
      <c r="GK30" s="4" t="s">
        <v>120</v>
      </c>
      <c r="GL30" s="5">
        <v>1</v>
      </c>
      <c r="GM30" s="5">
        <v>1</v>
      </c>
    </row>
    <row r="31" spans="1:195">
      <c r="A31" s="4" t="s">
        <v>184</v>
      </c>
      <c r="B31" s="5">
        <v>0.78</v>
      </c>
      <c r="N31" s="4" t="s">
        <v>174</v>
      </c>
      <c r="O31" s="5">
        <v>0.3</v>
      </c>
      <c r="W31" s="4" t="s">
        <v>170</v>
      </c>
      <c r="X31" s="5">
        <v>0.67</v>
      </c>
      <c r="AD31" s="4" t="s">
        <v>99</v>
      </c>
      <c r="AE31" s="5">
        <v>0.3</v>
      </c>
      <c r="AF31" s="5">
        <v>2.2000000000000002</v>
      </c>
      <c r="BQ31" s="4" t="s">
        <v>150</v>
      </c>
      <c r="BR31" s="5">
        <v>5.0999999999999996</v>
      </c>
      <c r="BS31" s="5">
        <v>3.6</v>
      </c>
      <c r="CT31" s="4" t="s">
        <v>91</v>
      </c>
      <c r="CU31" s="5">
        <v>77.099999999999994</v>
      </c>
      <c r="DC31" s="4" t="s">
        <v>150</v>
      </c>
      <c r="DD31" s="5">
        <v>2.1</v>
      </c>
      <c r="DE31" s="5">
        <v>1.8</v>
      </c>
      <c r="GK31" s="4" t="s">
        <v>112</v>
      </c>
      <c r="GL31" s="5">
        <v>1</v>
      </c>
      <c r="GM31" s="5">
        <v>1</v>
      </c>
    </row>
    <row r="32" spans="1:195">
      <c r="A32" s="4" t="s">
        <v>123</v>
      </c>
      <c r="B32" s="5">
        <v>-0.34</v>
      </c>
      <c r="N32" s="4" t="s">
        <v>126</v>
      </c>
      <c r="O32" s="5">
        <v>0.6</v>
      </c>
      <c r="W32" s="4" t="s">
        <v>130</v>
      </c>
      <c r="X32" s="5">
        <v>0.91</v>
      </c>
      <c r="AD32" s="4" t="s">
        <v>156</v>
      </c>
      <c r="AE32" s="5">
        <v>3.2</v>
      </c>
      <c r="AF32" s="5">
        <v>1.8</v>
      </c>
      <c r="BQ32" s="4" t="s">
        <v>187</v>
      </c>
      <c r="BR32" s="5">
        <v>7.2</v>
      </c>
      <c r="BS32" s="5">
        <v>27.25</v>
      </c>
      <c r="CT32" s="4" t="s">
        <v>201</v>
      </c>
      <c r="CU32" s="5">
        <v>56.7</v>
      </c>
      <c r="DC32" s="4" t="s">
        <v>187</v>
      </c>
      <c r="DD32" s="5">
        <v>12.3</v>
      </c>
      <c r="DE32" s="5">
        <v>23.4</v>
      </c>
      <c r="GK32" s="4" t="s">
        <v>150</v>
      </c>
      <c r="GL32" s="5">
        <v>1</v>
      </c>
      <c r="GM32" s="5">
        <v>1</v>
      </c>
    </row>
    <row r="33" spans="1:195">
      <c r="A33" s="4" t="s">
        <v>136</v>
      </c>
      <c r="B33" s="5">
        <v>0.67</v>
      </c>
      <c r="N33" s="4" t="s">
        <v>210</v>
      </c>
      <c r="O33" s="5">
        <v>2.8</v>
      </c>
      <c r="W33" s="4" t="s">
        <v>139</v>
      </c>
      <c r="X33" s="5">
        <v>0.12</v>
      </c>
      <c r="AD33" s="4" t="s">
        <v>108</v>
      </c>
      <c r="AE33" s="5">
        <v>6.8</v>
      </c>
      <c r="AF33" s="5">
        <v>4.9000000000000004</v>
      </c>
      <c r="BQ33" s="4" t="s">
        <v>106</v>
      </c>
      <c r="BR33" s="5">
        <v>7.4</v>
      </c>
      <c r="BS33" s="5">
        <v>4.5</v>
      </c>
      <c r="CT33" s="4" t="s">
        <v>150</v>
      </c>
      <c r="CU33" s="5">
        <v>29.8</v>
      </c>
      <c r="DC33" s="4" t="s">
        <v>106</v>
      </c>
      <c r="DD33" s="5">
        <v>1.8</v>
      </c>
      <c r="DE33" s="5">
        <v>2.1</v>
      </c>
      <c r="GK33" s="4" t="s">
        <v>99</v>
      </c>
      <c r="GL33" s="5">
        <v>1</v>
      </c>
      <c r="GM33" s="5">
        <v>1</v>
      </c>
    </row>
    <row r="34" spans="1:195">
      <c r="A34" s="4" t="s">
        <v>144</v>
      </c>
      <c r="B34" s="5">
        <v>0.45</v>
      </c>
      <c r="N34" s="4" t="s">
        <v>153</v>
      </c>
      <c r="O34" s="5">
        <v>0.8</v>
      </c>
      <c r="W34" s="4" t="s">
        <v>190</v>
      </c>
      <c r="X34" s="5">
        <v>2.1</v>
      </c>
      <c r="AD34" s="4" t="s">
        <v>163</v>
      </c>
      <c r="AE34" s="5">
        <v>5.0999999999999996</v>
      </c>
      <c r="AF34" s="5">
        <v>2.8</v>
      </c>
      <c r="BQ34" s="4" t="s">
        <v>99</v>
      </c>
      <c r="BR34" s="5">
        <v>3.1</v>
      </c>
      <c r="BS34" s="5">
        <v>4.5</v>
      </c>
      <c r="CT34" s="4" t="s">
        <v>187</v>
      </c>
      <c r="CU34" s="5">
        <v>89.7</v>
      </c>
      <c r="DC34" s="4" t="s">
        <v>99</v>
      </c>
      <c r="DD34" s="5">
        <v>2.1</v>
      </c>
      <c r="DE34" s="5">
        <v>1.8</v>
      </c>
      <c r="GK34" s="4" t="s">
        <v>96</v>
      </c>
      <c r="GL34" s="5">
        <v>1</v>
      </c>
      <c r="GM34" s="5">
        <v>1</v>
      </c>
    </row>
    <row r="35" spans="1:195">
      <c r="A35" s="4" t="s">
        <v>141</v>
      </c>
      <c r="B35" s="5">
        <v>0.28000000000000003</v>
      </c>
      <c r="N35" s="4" t="s">
        <v>184</v>
      </c>
      <c r="O35" s="5">
        <v>0.4</v>
      </c>
      <c r="W35" s="4" t="s">
        <v>147</v>
      </c>
      <c r="X35" s="5">
        <v>0.67</v>
      </c>
      <c r="AD35" s="4" t="s">
        <v>213</v>
      </c>
      <c r="AE35" s="5">
        <v>2</v>
      </c>
      <c r="AF35" s="5">
        <v>2.2999999999999998</v>
      </c>
      <c r="BQ35" s="4" t="s">
        <v>156</v>
      </c>
      <c r="BR35" s="5">
        <v>2.8</v>
      </c>
      <c r="BS35" s="5">
        <v>5.75</v>
      </c>
      <c r="CT35" s="4" t="s">
        <v>106</v>
      </c>
      <c r="CU35" s="5">
        <v>111.8</v>
      </c>
      <c r="DC35" s="4" t="s">
        <v>156</v>
      </c>
      <c r="DD35" s="5">
        <v>6.7</v>
      </c>
      <c r="DE35" s="5">
        <v>5.9</v>
      </c>
      <c r="GK35" s="4" t="s">
        <v>139</v>
      </c>
      <c r="GL35" s="5">
        <v>1</v>
      </c>
      <c r="GM35" s="5">
        <v>1</v>
      </c>
    </row>
    <row r="36" spans="1:195">
      <c r="A36" s="4" t="s">
        <v>160</v>
      </c>
      <c r="B36" s="5">
        <v>0.78</v>
      </c>
      <c r="N36" s="4" t="s">
        <v>123</v>
      </c>
      <c r="O36" s="5">
        <v>1.9</v>
      </c>
      <c r="W36" s="4" t="s">
        <v>204</v>
      </c>
      <c r="X36" s="5">
        <v>1.1200000000000001</v>
      </c>
      <c r="AD36" s="4" t="s">
        <v>134</v>
      </c>
      <c r="AE36" s="5">
        <v>0.7</v>
      </c>
      <c r="AF36" s="5">
        <v>1</v>
      </c>
      <c r="BQ36" s="4" t="s">
        <v>108</v>
      </c>
      <c r="BR36" s="5">
        <v>3.2</v>
      </c>
      <c r="BS36" s="5">
        <v>6.5</v>
      </c>
      <c r="CT36" s="4" t="s">
        <v>99</v>
      </c>
      <c r="CU36" s="5">
        <v>66.3</v>
      </c>
      <c r="DC36" s="4" t="s">
        <v>108</v>
      </c>
      <c r="DD36" s="5">
        <v>13.2</v>
      </c>
      <c r="DE36" s="5">
        <v>10.9</v>
      </c>
      <c r="GK36" s="4" t="s">
        <v>147</v>
      </c>
      <c r="GL36" s="5">
        <v>1</v>
      </c>
      <c r="GM36" s="5">
        <v>1</v>
      </c>
    </row>
    <row r="37" spans="1:195">
      <c r="A37" s="4" t="s">
        <v>166</v>
      </c>
      <c r="B37" s="5">
        <v>0.34</v>
      </c>
      <c r="N37" s="4" t="s">
        <v>136</v>
      </c>
      <c r="O37" s="5">
        <v>0.8</v>
      </c>
      <c r="W37" s="4" t="s">
        <v>174</v>
      </c>
      <c r="X37" s="5">
        <v>0.89</v>
      </c>
      <c r="AD37" s="4" t="s">
        <v>96</v>
      </c>
      <c r="AE37" s="5">
        <v>0.9</v>
      </c>
      <c r="AF37" s="5">
        <v>2.8</v>
      </c>
      <c r="BQ37" s="4" t="s">
        <v>163</v>
      </c>
      <c r="BR37" s="5">
        <v>5.4</v>
      </c>
      <c r="BS37" s="5">
        <v>6</v>
      </c>
      <c r="CT37" s="4" t="s">
        <v>156</v>
      </c>
      <c r="CU37" s="5">
        <v>0.1</v>
      </c>
      <c r="DC37" s="4" t="s">
        <v>163</v>
      </c>
      <c r="DD37" s="5">
        <v>8.9</v>
      </c>
      <c r="DE37" s="5">
        <v>7.3</v>
      </c>
      <c r="GK37" s="4" t="s">
        <v>153</v>
      </c>
      <c r="GL37" s="5">
        <v>1</v>
      </c>
      <c r="GM37" s="5">
        <v>1</v>
      </c>
    </row>
    <row r="38" spans="1:195">
      <c r="A38" s="4" t="s">
        <v>180</v>
      </c>
      <c r="B38" s="5">
        <v>2.34</v>
      </c>
      <c r="N38" s="4" t="s">
        <v>144</v>
      </c>
      <c r="O38" s="5">
        <v>0.7</v>
      </c>
      <c r="W38" s="4" t="s">
        <v>126</v>
      </c>
      <c r="X38" s="5">
        <v>0.78</v>
      </c>
      <c r="AD38" s="4" t="s">
        <v>170</v>
      </c>
      <c r="AE38" s="5">
        <v>4.2</v>
      </c>
      <c r="AF38" s="5">
        <v>2</v>
      </c>
      <c r="BQ38" s="4" t="s">
        <v>213</v>
      </c>
      <c r="BR38" s="5">
        <v>3.4</v>
      </c>
      <c r="BS38" s="5">
        <v>4.75</v>
      </c>
      <c r="CT38" s="4" t="s">
        <v>108</v>
      </c>
      <c r="CU38" s="5">
        <v>84.2</v>
      </c>
      <c r="DC38" s="4" t="s">
        <v>213</v>
      </c>
      <c r="DD38" s="5">
        <v>5.6</v>
      </c>
      <c r="DE38" s="5">
        <v>4.2</v>
      </c>
      <c r="GK38" s="4" t="s">
        <v>123</v>
      </c>
      <c r="GL38" s="5">
        <v>1</v>
      </c>
      <c r="GM38" s="5">
        <v>1</v>
      </c>
    </row>
    <row r="39" spans="1:195">
      <c r="A39" s="4" t="s">
        <v>207</v>
      </c>
      <c r="B39" s="5">
        <v>0.34</v>
      </c>
      <c r="N39" s="4" t="s">
        <v>141</v>
      </c>
      <c r="O39" s="5">
        <v>1.8</v>
      </c>
      <c r="W39" s="4" t="s">
        <v>210</v>
      </c>
      <c r="X39" s="5">
        <v>0.56000000000000005</v>
      </c>
      <c r="AD39" s="4" t="s">
        <v>130</v>
      </c>
      <c r="AE39" s="5">
        <v>2.4</v>
      </c>
      <c r="AF39" s="5">
        <v>4.7</v>
      </c>
      <c r="BQ39" s="4" t="s">
        <v>134</v>
      </c>
      <c r="BR39" s="5">
        <v>7.6</v>
      </c>
      <c r="BS39" s="5">
        <v>4.5</v>
      </c>
      <c r="CT39" s="4" t="s">
        <v>163</v>
      </c>
      <c r="CU39" s="5">
        <v>39.799999999999997</v>
      </c>
      <c r="DC39" s="4" t="s">
        <v>134</v>
      </c>
      <c r="DD39" s="5">
        <v>3.2</v>
      </c>
      <c r="DE39" s="5">
        <v>2.9</v>
      </c>
      <c r="GK39" s="4" t="s">
        <v>144</v>
      </c>
      <c r="GL39" s="5">
        <v>1</v>
      </c>
      <c r="GM39" s="5">
        <v>1</v>
      </c>
    </row>
    <row r="40" spans="1:195">
      <c r="A40" s="4" t="s">
        <v>102</v>
      </c>
      <c r="B40" s="5">
        <v>-0.15</v>
      </c>
      <c r="N40" s="4" t="s">
        <v>160</v>
      </c>
      <c r="O40" s="5">
        <v>2.1</v>
      </c>
      <c r="W40" s="4" t="s">
        <v>153</v>
      </c>
      <c r="X40" s="5">
        <v>0.56000000000000005</v>
      </c>
      <c r="AD40" s="4" t="s">
        <v>139</v>
      </c>
      <c r="AE40" s="5">
        <v>0.6</v>
      </c>
      <c r="AF40" s="5">
        <v>1.1000000000000001</v>
      </c>
      <c r="BQ40" s="4" t="s">
        <v>96</v>
      </c>
      <c r="BR40" s="5">
        <v>2.4</v>
      </c>
      <c r="BS40" s="5">
        <v>-0.1</v>
      </c>
      <c r="CT40" s="4" t="s">
        <v>213</v>
      </c>
      <c r="CU40" s="5">
        <v>60.9</v>
      </c>
      <c r="DC40" s="4" t="s">
        <v>96</v>
      </c>
      <c r="DD40" s="5">
        <v>5.0999999999999996</v>
      </c>
      <c r="DE40" s="5">
        <v>4.7</v>
      </c>
      <c r="FG40" s="3" t="s">
        <v>57</v>
      </c>
      <c r="FH40" t="s">
        <v>227</v>
      </c>
      <c r="GK40" s="4" t="s">
        <v>141</v>
      </c>
      <c r="GL40" s="5">
        <v>1</v>
      </c>
      <c r="GM40" s="5">
        <v>1</v>
      </c>
    </row>
    <row r="41" spans="1:195">
      <c r="A41" s="4" t="s">
        <v>86</v>
      </c>
      <c r="B41" s="5">
        <v>0.34</v>
      </c>
      <c r="N41" s="4" t="s">
        <v>166</v>
      </c>
      <c r="O41" s="5">
        <v>0.6</v>
      </c>
      <c r="W41" s="4" t="s">
        <v>184</v>
      </c>
      <c r="X41" s="5">
        <v>0.78</v>
      </c>
      <c r="AD41" s="4" t="s">
        <v>190</v>
      </c>
      <c r="AE41" s="5">
        <v>3.2</v>
      </c>
      <c r="AF41" s="5">
        <v>21.8</v>
      </c>
      <c r="BQ41" s="4" t="s">
        <v>170</v>
      </c>
      <c r="BR41" s="5">
        <v>3.4</v>
      </c>
      <c r="BS41" s="5">
        <v>3</v>
      </c>
      <c r="CT41" s="4" t="s">
        <v>134</v>
      </c>
      <c r="CU41" s="5">
        <v>144.4</v>
      </c>
      <c r="DC41" s="4" t="s">
        <v>170</v>
      </c>
      <c r="DD41" s="5">
        <v>6.7</v>
      </c>
      <c r="DE41" s="5">
        <v>5.9</v>
      </c>
      <c r="FG41" s="4" t="s">
        <v>138</v>
      </c>
      <c r="FH41" s="5">
        <v>2</v>
      </c>
      <c r="GK41" s="4" t="s">
        <v>160</v>
      </c>
      <c r="GL41" s="5">
        <v>1</v>
      </c>
      <c r="GM41" s="5">
        <v>1</v>
      </c>
    </row>
    <row r="42" spans="1:195">
      <c r="A42" s="4" t="s">
        <v>177</v>
      </c>
      <c r="B42" s="5">
        <v>1.23</v>
      </c>
      <c r="N42" s="4" t="s">
        <v>180</v>
      </c>
      <c r="O42" s="5">
        <v>0.3</v>
      </c>
      <c r="W42" s="4" t="s">
        <v>123</v>
      </c>
      <c r="X42" s="5">
        <v>-0.34</v>
      </c>
      <c r="AD42" s="4" t="s">
        <v>147</v>
      </c>
      <c r="AE42" s="5">
        <v>2.1</v>
      </c>
      <c r="AF42" s="5">
        <v>3.1</v>
      </c>
      <c r="BQ42" s="4" t="s">
        <v>130</v>
      </c>
      <c r="BR42" s="5">
        <v>2.8</v>
      </c>
      <c r="BS42" s="5">
        <v>11</v>
      </c>
      <c r="CT42" s="4" t="s">
        <v>96</v>
      </c>
      <c r="CU42" s="5">
        <v>263.10000000000002</v>
      </c>
      <c r="DC42" s="4" t="s">
        <v>130</v>
      </c>
      <c r="DD42" s="5">
        <v>7.9</v>
      </c>
      <c r="DE42" s="5">
        <v>8.1999999999999993</v>
      </c>
      <c r="FG42" s="4" t="s">
        <v>173</v>
      </c>
      <c r="FH42" s="5">
        <v>2</v>
      </c>
      <c r="GK42" s="4" t="s">
        <v>207</v>
      </c>
      <c r="GL42" s="5">
        <v>1</v>
      </c>
      <c r="GM42" s="5">
        <v>1</v>
      </c>
    </row>
    <row r="43" spans="1:195">
      <c r="A43" s="4" t="s">
        <v>58</v>
      </c>
      <c r="B43" s="5">
        <v>25.51</v>
      </c>
      <c r="N43" s="4" t="s">
        <v>207</v>
      </c>
      <c r="O43" s="5">
        <v>0.7</v>
      </c>
      <c r="W43" s="4" t="s">
        <v>136</v>
      </c>
      <c r="X43" s="5">
        <v>0.67</v>
      </c>
      <c r="AD43" s="4" t="s">
        <v>204</v>
      </c>
      <c r="AE43" s="5">
        <v>2.8</v>
      </c>
      <c r="AF43" s="5">
        <v>2.8</v>
      </c>
      <c r="BQ43" s="4" t="s">
        <v>139</v>
      </c>
      <c r="BR43" s="5">
        <v>3.6</v>
      </c>
      <c r="BS43" s="5">
        <v>4.5</v>
      </c>
      <c r="CT43" s="4" t="s">
        <v>170</v>
      </c>
      <c r="CU43" s="5">
        <v>70.099999999999994</v>
      </c>
      <c r="DC43" s="4" t="s">
        <v>139</v>
      </c>
      <c r="DD43" s="5">
        <v>2.8</v>
      </c>
      <c r="DE43" s="5">
        <v>2.4</v>
      </c>
      <c r="FG43" s="4" t="s">
        <v>94</v>
      </c>
      <c r="FH43" s="5">
        <v>3</v>
      </c>
      <c r="GK43" s="4" t="s">
        <v>86</v>
      </c>
      <c r="GL43" s="5">
        <v>1</v>
      </c>
      <c r="GM43" s="5">
        <v>1</v>
      </c>
    </row>
    <row r="44" spans="1:195">
      <c r="N44" s="4" t="s">
        <v>102</v>
      </c>
      <c r="O44" s="5">
        <v>3.1</v>
      </c>
      <c r="W44" s="4" t="s">
        <v>144</v>
      </c>
      <c r="X44" s="5">
        <v>0.45</v>
      </c>
      <c r="AD44" s="4" t="s">
        <v>174</v>
      </c>
      <c r="AE44" s="5">
        <v>5.8</v>
      </c>
      <c r="AF44" s="5">
        <v>3.7</v>
      </c>
      <c r="BQ44" s="4" t="s">
        <v>190</v>
      </c>
      <c r="BR44" s="5">
        <v>5.0999999999999996</v>
      </c>
      <c r="BS44" s="5">
        <v>18.75</v>
      </c>
      <c r="CT44" s="4" t="s">
        <v>130</v>
      </c>
      <c r="CU44" s="5">
        <v>54.7</v>
      </c>
      <c r="DC44" s="4" t="s">
        <v>190</v>
      </c>
      <c r="DD44" s="5">
        <v>23.4</v>
      </c>
      <c r="DE44" s="5">
        <v>34.5</v>
      </c>
      <c r="FG44" s="4" t="s">
        <v>105</v>
      </c>
      <c r="FH44" s="5">
        <v>5</v>
      </c>
      <c r="GK44" s="4" t="s">
        <v>58</v>
      </c>
      <c r="GL44" s="5">
        <v>14</v>
      </c>
      <c r="GM44" s="5">
        <v>14</v>
      </c>
    </row>
    <row r="45" spans="1:195">
      <c r="N45" s="4" t="s">
        <v>86</v>
      </c>
      <c r="O45" s="5">
        <v>51.2</v>
      </c>
      <c r="W45" s="4" t="s">
        <v>141</v>
      </c>
      <c r="X45" s="5">
        <v>0.28000000000000003</v>
      </c>
      <c r="AD45" s="4" t="s">
        <v>126</v>
      </c>
      <c r="AE45" s="5">
        <v>-1.9</v>
      </c>
      <c r="AF45" s="5">
        <v>7.4</v>
      </c>
      <c r="BQ45" s="4" t="s">
        <v>147</v>
      </c>
      <c r="BR45" s="5">
        <v>3.4</v>
      </c>
      <c r="BS45" s="5">
        <v>4.5</v>
      </c>
      <c r="CT45" s="4" t="s">
        <v>139</v>
      </c>
      <c r="CU45" s="5">
        <v>52.4</v>
      </c>
      <c r="DC45" s="4" t="s">
        <v>147</v>
      </c>
      <c r="DD45" s="5">
        <v>8.9</v>
      </c>
      <c r="DE45" s="5">
        <v>6.7</v>
      </c>
      <c r="FG45" s="4" t="s">
        <v>159</v>
      </c>
      <c r="FH45" s="5">
        <v>1</v>
      </c>
    </row>
    <row r="46" spans="1:195">
      <c r="N46" s="4" t="s">
        <v>177</v>
      </c>
      <c r="O46" s="5">
        <v>0.3</v>
      </c>
      <c r="W46" s="4" t="s">
        <v>160</v>
      </c>
      <c r="X46" s="5">
        <v>0.78</v>
      </c>
      <c r="AD46" s="4" t="s">
        <v>210</v>
      </c>
      <c r="AE46" s="5">
        <v>1.1000000000000001</v>
      </c>
      <c r="AF46" s="5">
        <v>-0.4</v>
      </c>
      <c r="BQ46" s="4" t="s">
        <v>204</v>
      </c>
      <c r="BR46" s="5">
        <v>6.4</v>
      </c>
      <c r="BS46" s="5">
        <v>5.75</v>
      </c>
      <c r="CT46" s="4" t="s">
        <v>190</v>
      </c>
      <c r="CU46" s="5">
        <v>37.1</v>
      </c>
      <c r="DC46" s="4" t="s">
        <v>204</v>
      </c>
      <c r="DD46" s="5">
        <v>9.8000000000000007</v>
      </c>
      <c r="DE46" s="5">
        <v>8.1999999999999993</v>
      </c>
      <c r="FG46" s="4" t="s">
        <v>89</v>
      </c>
      <c r="FH46" s="5">
        <v>10</v>
      </c>
    </row>
    <row r="47" spans="1:195">
      <c r="N47" s="4" t="s">
        <v>58</v>
      </c>
      <c r="O47" s="5">
        <v>113.59999999999998</v>
      </c>
      <c r="W47" s="4" t="s">
        <v>166</v>
      </c>
      <c r="X47" s="5">
        <v>0.34</v>
      </c>
      <c r="AD47" s="4" t="s">
        <v>153</v>
      </c>
      <c r="AE47" s="5">
        <v>2.6</v>
      </c>
      <c r="AF47" s="5">
        <v>2.4</v>
      </c>
      <c r="BQ47" s="4" t="s">
        <v>174</v>
      </c>
      <c r="BR47" s="5">
        <v>5.9</v>
      </c>
      <c r="BS47" s="5">
        <v>6.5</v>
      </c>
      <c r="CT47" s="4" t="s">
        <v>147</v>
      </c>
      <c r="CU47" s="5">
        <v>45.7</v>
      </c>
      <c r="DC47" s="4" t="s">
        <v>174</v>
      </c>
      <c r="DD47" s="5">
        <v>8.1</v>
      </c>
      <c r="DE47" s="5">
        <v>7.4</v>
      </c>
      <c r="FG47" s="4" t="s">
        <v>193</v>
      </c>
      <c r="FH47" s="5">
        <v>1</v>
      </c>
    </row>
    <row r="48" spans="1:195">
      <c r="W48" s="4" t="s">
        <v>180</v>
      </c>
      <c r="X48" s="5">
        <v>2.34</v>
      </c>
      <c r="AD48" s="4" t="s">
        <v>184</v>
      </c>
      <c r="AE48" s="5">
        <v>0.9</v>
      </c>
      <c r="AF48" s="5">
        <v>4.7</v>
      </c>
      <c r="BQ48" s="4" t="s">
        <v>126</v>
      </c>
      <c r="BR48" s="5">
        <v>3.4</v>
      </c>
      <c r="BS48" s="5">
        <v>16</v>
      </c>
      <c r="CT48" s="4" t="s">
        <v>204</v>
      </c>
      <c r="CU48" s="5">
        <v>34.200000000000003</v>
      </c>
      <c r="DC48" s="4" t="s">
        <v>126</v>
      </c>
      <c r="DD48" s="5">
        <v>15.2</v>
      </c>
      <c r="DE48" s="5">
        <v>18.7</v>
      </c>
      <c r="FG48" s="4" t="s">
        <v>183</v>
      </c>
      <c r="FH48" s="5">
        <v>2</v>
      </c>
    </row>
    <row r="49" spans="23:164">
      <c r="W49" s="4" t="s">
        <v>207</v>
      </c>
      <c r="X49" s="5">
        <v>0.34</v>
      </c>
      <c r="AD49" s="4" t="s">
        <v>123</v>
      </c>
      <c r="AE49" s="5">
        <v>3.1</v>
      </c>
      <c r="AF49" s="5">
        <v>2.4</v>
      </c>
      <c r="BQ49" s="4" t="s">
        <v>210</v>
      </c>
      <c r="BR49" s="5">
        <v>5.8</v>
      </c>
      <c r="BS49" s="5">
        <v>6</v>
      </c>
      <c r="CT49" s="4" t="s">
        <v>174</v>
      </c>
      <c r="CU49" s="5">
        <v>63.5</v>
      </c>
      <c r="DC49" s="4" t="s">
        <v>210</v>
      </c>
      <c r="DD49" s="5">
        <v>12.3</v>
      </c>
      <c r="DE49" s="5">
        <v>8.9</v>
      </c>
      <c r="FG49" s="4" t="s">
        <v>118</v>
      </c>
      <c r="FH49" s="5">
        <v>2</v>
      </c>
    </row>
    <row r="50" spans="23:164">
      <c r="W50" s="4" t="s">
        <v>102</v>
      </c>
      <c r="X50" s="5">
        <v>-0.15</v>
      </c>
      <c r="AD50" s="4" t="s">
        <v>136</v>
      </c>
      <c r="AE50" s="5">
        <v>2.5</v>
      </c>
      <c r="AF50" s="5">
        <v>3.2</v>
      </c>
      <c r="BQ50" s="4" t="s">
        <v>153</v>
      </c>
      <c r="BR50" s="5">
        <v>2.1</v>
      </c>
      <c r="BS50" s="5">
        <v>3.5</v>
      </c>
      <c r="CT50" s="4" t="s">
        <v>126</v>
      </c>
      <c r="CU50" s="5">
        <v>21.4</v>
      </c>
      <c r="DC50" s="4" t="s">
        <v>153</v>
      </c>
      <c r="DD50" s="5">
        <v>12.4</v>
      </c>
      <c r="DE50" s="5">
        <v>11.7</v>
      </c>
      <c r="FG50" s="4" t="s">
        <v>129</v>
      </c>
      <c r="FH50" s="5">
        <v>3</v>
      </c>
    </row>
    <row r="51" spans="23:164">
      <c r="W51" s="4" t="s">
        <v>86</v>
      </c>
      <c r="X51" s="5">
        <v>0.34</v>
      </c>
      <c r="AD51" s="4" t="s">
        <v>144</v>
      </c>
      <c r="AE51" s="5">
        <v>0.8</v>
      </c>
      <c r="AF51" s="5">
        <v>1.9</v>
      </c>
      <c r="BQ51" s="4" t="s">
        <v>184</v>
      </c>
      <c r="BR51" s="5">
        <v>28.7</v>
      </c>
      <c r="BS51" s="5">
        <v>8.25</v>
      </c>
      <c r="CT51" s="4" t="s">
        <v>210</v>
      </c>
      <c r="CU51" s="5">
        <v>26.7</v>
      </c>
      <c r="DC51" s="4" t="s">
        <v>184</v>
      </c>
      <c r="DD51" s="5">
        <v>2.1</v>
      </c>
      <c r="DE51" s="5">
        <v>1.8</v>
      </c>
      <c r="FG51" s="4" t="s">
        <v>133</v>
      </c>
      <c r="FH51" s="5">
        <v>3</v>
      </c>
    </row>
    <row r="52" spans="23:164">
      <c r="W52" s="4" t="s">
        <v>177</v>
      </c>
      <c r="X52" s="5">
        <v>1.23</v>
      </c>
      <c r="AD52" s="4" t="s">
        <v>141</v>
      </c>
      <c r="AE52" s="5">
        <v>1.2</v>
      </c>
      <c r="AF52" s="5">
        <v>1.4</v>
      </c>
      <c r="BQ52" s="4" t="s">
        <v>123</v>
      </c>
      <c r="BR52" s="5">
        <v>2.9</v>
      </c>
      <c r="BS52" s="5">
        <v>3.5</v>
      </c>
      <c r="CT52" s="4" t="s">
        <v>153</v>
      </c>
      <c r="CU52" s="5">
        <v>130.1</v>
      </c>
      <c r="DC52" s="4" t="s">
        <v>123</v>
      </c>
      <c r="DD52" s="5">
        <v>9.1</v>
      </c>
      <c r="DE52" s="5">
        <v>7.8</v>
      </c>
      <c r="EY52" s="3" t="s">
        <v>57</v>
      </c>
      <c r="EZ52" t="s">
        <v>230</v>
      </c>
      <c r="FA52" t="s">
        <v>231</v>
      </c>
      <c r="FG52" s="4" t="s">
        <v>111</v>
      </c>
      <c r="FH52" s="5">
        <v>1</v>
      </c>
    </row>
    <row r="53" spans="23:164">
      <c r="W53" s="4" t="s">
        <v>58</v>
      </c>
      <c r="X53" s="5">
        <v>25.51</v>
      </c>
      <c r="AD53" s="4" t="s">
        <v>160</v>
      </c>
      <c r="AE53" s="5">
        <v>3.8</v>
      </c>
      <c r="AF53" s="5">
        <v>2.1</v>
      </c>
      <c r="BQ53" s="4" t="s">
        <v>136</v>
      </c>
      <c r="BR53" s="5">
        <v>11.5</v>
      </c>
      <c r="BS53" s="5">
        <v>4.5</v>
      </c>
      <c r="CT53" s="4" t="s">
        <v>184</v>
      </c>
      <c r="CU53" s="5">
        <v>71.099999999999994</v>
      </c>
      <c r="DC53" s="4" t="s">
        <v>136</v>
      </c>
      <c r="DD53" s="5">
        <v>4.0999999999999996</v>
      </c>
      <c r="DE53" s="5">
        <v>3.7</v>
      </c>
      <c r="EY53" s="12">
        <v>45519</v>
      </c>
      <c r="EZ53" s="5">
        <v>3036.1499999999978</v>
      </c>
      <c r="FA53" s="5">
        <v>97012.5</v>
      </c>
      <c r="FG53" s="4" t="s">
        <v>169</v>
      </c>
      <c r="FH53" s="5">
        <v>3</v>
      </c>
    </row>
    <row r="54" spans="23:164">
      <c r="AD54" s="4" t="s">
        <v>166</v>
      </c>
      <c r="AE54" s="5">
        <v>2.9</v>
      </c>
      <c r="AF54" s="5">
        <v>0.4</v>
      </c>
      <c r="BQ54" s="4" t="s">
        <v>144</v>
      </c>
      <c r="BR54" s="5">
        <v>7.8</v>
      </c>
      <c r="BS54" s="5">
        <v>3.75</v>
      </c>
      <c r="CT54" s="4" t="s">
        <v>123</v>
      </c>
      <c r="CU54" s="5">
        <v>54.6</v>
      </c>
      <c r="DC54" s="4" t="s">
        <v>144</v>
      </c>
      <c r="DD54" s="5">
        <v>3.4</v>
      </c>
      <c r="DE54" s="5">
        <v>2.9</v>
      </c>
      <c r="EY54" s="12" t="s">
        <v>58</v>
      </c>
      <c r="EZ54" s="5">
        <v>3036.1499999999978</v>
      </c>
      <c r="FA54" s="5">
        <v>97012.5</v>
      </c>
      <c r="FG54" s="4" t="s">
        <v>200</v>
      </c>
      <c r="FH54" s="5">
        <v>1</v>
      </c>
    </row>
    <row r="55" spans="23:164">
      <c r="AD55" s="4" t="s">
        <v>180</v>
      </c>
      <c r="AE55" s="5">
        <v>3.1</v>
      </c>
      <c r="AF55" s="5">
        <v>64.8</v>
      </c>
      <c r="BQ55" s="4" t="s">
        <v>141</v>
      </c>
      <c r="BR55" s="5">
        <v>2.4</v>
      </c>
      <c r="BS55" s="5">
        <v>1.25</v>
      </c>
      <c r="CT55" s="4" t="s">
        <v>136</v>
      </c>
      <c r="CU55" s="5">
        <v>107.7</v>
      </c>
      <c r="DC55" s="4" t="s">
        <v>141</v>
      </c>
      <c r="DD55" s="5">
        <v>1.9</v>
      </c>
      <c r="DE55" s="5">
        <v>2.1</v>
      </c>
      <c r="FG55" s="4" t="s">
        <v>58</v>
      </c>
      <c r="FH55" s="5">
        <v>39</v>
      </c>
    </row>
    <row r="56" spans="23:164">
      <c r="AD56" s="4" t="s">
        <v>207</v>
      </c>
      <c r="AE56" s="5">
        <v>3.9</v>
      </c>
      <c r="AF56" s="5">
        <v>1.9</v>
      </c>
      <c r="BQ56" s="4" t="s">
        <v>160</v>
      </c>
      <c r="BR56" s="5">
        <v>3.7</v>
      </c>
      <c r="BS56" s="5">
        <v>1.5</v>
      </c>
      <c r="CT56" s="4" t="s">
        <v>144</v>
      </c>
      <c r="CU56" s="5">
        <v>35.1</v>
      </c>
      <c r="DC56" s="4" t="s">
        <v>160</v>
      </c>
      <c r="DD56" s="5">
        <v>15.2</v>
      </c>
      <c r="DE56" s="5">
        <v>13.8</v>
      </c>
    </row>
    <row r="57" spans="23:164">
      <c r="AD57" s="4" t="s">
        <v>102</v>
      </c>
      <c r="AE57" s="5">
        <v>1.1000000000000001</v>
      </c>
      <c r="AF57" s="5">
        <v>2</v>
      </c>
      <c r="BQ57" s="4" t="s">
        <v>166</v>
      </c>
      <c r="BR57" s="5">
        <v>1.2</v>
      </c>
      <c r="BS57" s="5">
        <v>2.5</v>
      </c>
      <c r="CT57" s="4" t="s">
        <v>141</v>
      </c>
      <c r="CU57" s="5">
        <v>41</v>
      </c>
      <c r="DC57" s="4" t="s">
        <v>166</v>
      </c>
      <c r="DD57" s="5">
        <v>4.0999999999999996</v>
      </c>
      <c r="DE57" s="5">
        <v>3.8</v>
      </c>
    </row>
    <row r="58" spans="23:164">
      <c r="AD58" s="4" t="s">
        <v>86</v>
      </c>
      <c r="AE58" s="5">
        <v>2.8</v>
      </c>
      <c r="AF58" s="5">
        <v>2.9</v>
      </c>
      <c r="BQ58" s="4" t="s">
        <v>180</v>
      </c>
      <c r="BR58" s="5">
        <v>10.5</v>
      </c>
      <c r="BS58" s="5">
        <v>50</v>
      </c>
      <c r="CT58" s="4" t="s">
        <v>160</v>
      </c>
      <c r="CU58" s="5">
        <v>28.7</v>
      </c>
      <c r="DC58" s="4" t="s">
        <v>180</v>
      </c>
      <c r="DD58" s="5">
        <v>3.4</v>
      </c>
      <c r="DE58" s="5">
        <v>8.9</v>
      </c>
    </row>
    <row r="59" spans="23:164">
      <c r="AD59" s="4" t="s">
        <v>177</v>
      </c>
      <c r="AE59" s="5">
        <v>6.4</v>
      </c>
      <c r="AF59" s="5">
        <v>4.0999999999999996</v>
      </c>
      <c r="BQ59" s="4" t="s">
        <v>207</v>
      </c>
      <c r="BR59" s="5">
        <v>2.8</v>
      </c>
      <c r="BS59" s="5">
        <v>5.4</v>
      </c>
      <c r="CT59" s="4" t="s">
        <v>166</v>
      </c>
      <c r="CU59" s="5">
        <v>61.4</v>
      </c>
      <c r="DC59" s="4" t="s">
        <v>207</v>
      </c>
      <c r="DD59" s="5">
        <v>23.4</v>
      </c>
      <c r="DE59" s="5">
        <v>18.899999999999999</v>
      </c>
    </row>
    <row r="60" spans="23:164">
      <c r="AD60" s="4" t="s">
        <v>58</v>
      </c>
      <c r="AE60" s="5">
        <v>94.2</v>
      </c>
      <c r="AF60" s="5">
        <v>429.9</v>
      </c>
      <c r="BQ60" s="4" t="s">
        <v>102</v>
      </c>
      <c r="BR60" s="5">
        <v>4.2</v>
      </c>
      <c r="BS60" s="5">
        <v>5.25</v>
      </c>
      <c r="CT60" s="4" t="s">
        <v>180</v>
      </c>
      <c r="CU60" s="5">
        <v>32.1</v>
      </c>
      <c r="DC60" s="4" t="s">
        <v>102</v>
      </c>
      <c r="DD60" s="5">
        <v>0.9</v>
      </c>
      <c r="DE60" s="5">
        <v>1.2</v>
      </c>
    </row>
    <row r="61" spans="23:164">
      <c r="BQ61" s="4" t="s">
        <v>86</v>
      </c>
      <c r="BR61" s="5">
        <v>3.7</v>
      </c>
      <c r="BS61" s="5">
        <v>5.5</v>
      </c>
      <c r="CT61" s="4" t="s">
        <v>207</v>
      </c>
      <c r="CU61" s="5">
        <v>34.5</v>
      </c>
      <c r="DC61" s="4" t="s">
        <v>86</v>
      </c>
      <c r="DD61" s="5">
        <v>3.2</v>
      </c>
      <c r="DE61" s="5">
        <v>2.8</v>
      </c>
    </row>
    <row r="62" spans="23:164">
      <c r="BQ62" s="4" t="s">
        <v>177</v>
      </c>
      <c r="BR62" s="5">
        <v>12.3</v>
      </c>
      <c r="BS62" s="5">
        <v>4.5</v>
      </c>
      <c r="CT62" s="4" t="s">
        <v>102</v>
      </c>
      <c r="CU62" s="5">
        <v>101.2</v>
      </c>
      <c r="DC62" s="4" t="s">
        <v>177</v>
      </c>
      <c r="DD62" s="5">
        <v>12.8</v>
      </c>
      <c r="DE62" s="5">
        <v>14.2</v>
      </c>
    </row>
    <row r="63" spans="23:164">
      <c r="BQ63" s="4" t="s">
        <v>58</v>
      </c>
      <c r="BR63" s="5">
        <v>229.60000000000002</v>
      </c>
      <c r="BS63" s="5">
        <v>415.09999999999997</v>
      </c>
      <c r="CT63" s="4" t="s">
        <v>86</v>
      </c>
      <c r="CU63" s="5">
        <v>126.4</v>
      </c>
      <c r="DC63" s="4" t="s">
        <v>58</v>
      </c>
      <c r="DD63" s="5">
        <v>283.29999999999995</v>
      </c>
      <c r="DE63" s="5">
        <v>309.59999999999997</v>
      </c>
    </row>
    <row r="64" spans="23:164">
      <c r="CT64" s="4" t="s">
        <v>177</v>
      </c>
      <c r="CU64" s="5">
        <v>43.1</v>
      </c>
    </row>
    <row r="65" spans="98:99">
      <c r="CT65" s="4" t="s">
        <v>58</v>
      </c>
      <c r="CU65" s="5">
        <v>2652.8999999999992</v>
      </c>
    </row>
  </sheetData>
  <conditionalFormatting sqref="W14">
    <cfRule type="colorScale" priority="4">
      <colorScale>
        <cfvo type="min"/>
        <cfvo type="percentile" val="50"/>
        <cfvo type="max"/>
        <color rgb="FF5A8AC6"/>
        <color rgb="FFFCFCFF"/>
        <color rgb="FFF8696B"/>
      </colorScale>
    </cfRule>
  </conditionalFormatting>
  <conditionalFormatting sqref="W11:X53">
    <cfRule type="colorScale" priority="1">
      <colorScale>
        <cfvo type="min"/>
        <cfvo type="percentile" val="50"/>
        <cfvo type="max"/>
        <color rgb="FFF8696B"/>
        <color rgb="FFFCFCFF"/>
        <color rgb="FF5A8AC6"/>
      </colorScale>
    </cfRule>
  </conditionalFormatting>
  <pageMargins left="0.7" right="0.7" top="0.75" bottom="0.75" header="0.3" footer="0.3"/>
  <drawing r:id="rId13"/>
  <extLst>
    <ext xmlns:x14="http://schemas.microsoft.com/office/spreadsheetml/2009/9/main" uri="{A8765BA9-456A-4dab-B4F3-ACF838C121DE}">
      <x14:slicerList>
        <x14:slicer r:id="rId14"/>
      </x14:slicerList>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Excel 1 mark</vt:lpstr>
      <vt:lpstr>Excel 2 mark</vt:lpstr>
      <vt:lpstr>Dashboard</vt:lpstr>
      <vt:lpstr>Table1</vt:lpstr>
      <vt:lpstr>Table</vt:lpstr>
      <vt:lpstr>Sheet12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Microsoft Office User</cp:lastModifiedBy>
  <dcterms:created xsi:type="dcterms:W3CDTF">2025-09-19T03:39:34Z</dcterms:created>
  <dcterms:modified xsi:type="dcterms:W3CDTF">2025-09-19T09:30:39Z</dcterms:modified>
</cp:coreProperties>
</file>